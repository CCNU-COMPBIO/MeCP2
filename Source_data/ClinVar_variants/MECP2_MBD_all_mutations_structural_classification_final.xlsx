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970" activeTab="1"/>
  </bookViews>
  <sheets>
    <sheet name="MBD_structure_classification" sheetId="1" r:id="rId1"/>
    <sheet name="Structure_summary" sheetId="2" r:id="rId2"/>
    <sheet name="Class_lists" sheetId="3" r:id="rId3"/>
    <sheet name="Classification_rules" sheetId="4" r:id="rId4"/>
    <sheet name="SASA_residue_refere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<sst xmlns="http://schemas.openxmlformats.org/spreadsheetml/2006/main" count="2872" uniqueCount="860">
  <si>
    <t>MeCP2 MBD mutation structural classification (3C2I-based)</t>
  </si>
  <si>
    <t>MBD is defined as residues 78–162. Structural classification is assigned only where 3C2I contains resolved atomic coordinates; unresolved MBD positions are retained and marked as structurally unresolved.</t>
  </si>
  <si>
    <t>Unique_protein_change</t>
  </si>
  <si>
    <t>Protein_position</t>
  </si>
  <si>
    <t>Protein_level_group</t>
  </si>
  <si>
    <t>Preferred_classification</t>
  </si>
  <si>
    <t>Structure_status</t>
  </si>
  <si>
    <t>Structural_category</t>
  </si>
  <si>
    <t>Structure_residue_label</t>
  </si>
  <si>
    <t>SASA_isolated_A2</t>
  </si>
  <si>
    <t>SASA_protein_A2</t>
  </si>
  <si>
    <t>SASA_complex_A2</t>
  </si>
  <si>
    <t>Exposure_ratio</t>
  </si>
  <si>
    <t>Delta_SASA_DNA_A2</t>
  </si>
  <si>
    <t>DNA_buried_ratio</t>
  </si>
  <si>
    <t>SNV_count</t>
  </si>
  <si>
    <t>Variation_IDs</t>
  </si>
  <si>
    <t>NM_004992.4_c_HGVS</t>
  </si>
  <si>
    <t>NP_004983.1_p_HGVS</t>
  </si>
  <si>
    <t>RTT_evidence_level</t>
  </si>
  <si>
    <t>Classification_source</t>
  </si>
  <si>
    <t>Classification_scope</t>
  </si>
  <si>
    <t>Original_RTT_RCV_classifications</t>
  </si>
  <si>
    <t>VCV_global_classifications</t>
  </si>
  <si>
    <t>Protein_level_detailed_classification</t>
  </si>
  <si>
    <t>Use_VCV_global_fallback</t>
  </si>
  <si>
    <t>Include_in_strict_RTT_PLP</t>
  </si>
  <si>
    <t>Include_in_hierarchical_PLP</t>
  </si>
  <si>
    <t>Classification_basis</t>
  </si>
  <si>
    <t>RCV_accessions</t>
  </si>
  <si>
    <t>RCV_conditions</t>
  </si>
  <si>
    <t>RCV_review_status</t>
  </si>
  <si>
    <t>RCV_date_last_evaluated</t>
  </si>
  <si>
    <t>RCV_submission_count</t>
  </si>
  <si>
    <t>ClinVar_URLs</t>
  </si>
  <si>
    <t>K82R</t>
  </si>
  <si>
    <t>82</t>
  </si>
  <si>
    <t>B/LB group</t>
  </si>
  <si>
    <t>Likely benign</t>
  </si>
  <si>
    <t>Structurally unresolved in 3C2I</t>
  </si>
  <si>
    <t>NA</t>
  </si>
  <si>
    <t>1</t>
  </si>
  <si>
    <t>143509</t>
  </si>
  <si>
    <t>NM_004992.4:c.245A&gt;G</t>
  </si>
  <si>
    <t>NP_004983.1:p.Lys82Arg</t>
  </si>
  <si>
    <t>Exact Rett syndrome RCV</t>
  </si>
  <si>
    <t>RTT-specific</t>
  </si>
  <si>
    <t>Benign/Likely benign</t>
  </si>
  <si>
    <t>No</t>
  </si>
  <si>
    <t>Exact RTT RCV classification: Likely benign</t>
  </si>
  <si>
    <t>RCV003380473.1</t>
  </si>
  <si>
    <t>Rett syndrome</t>
  </si>
  <si>
    <t>criteria provided, single submitter</t>
  </si>
  <si>
    <t>2023-08-14</t>
  </si>
  <si>
    <t>https://www.ncbi.nlm.nih.gov/clinvar/variation/143509/</t>
  </si>
  <si>
    <t>R85C</t>
  </si>
  <si>
    <t>85</t>
  </si>
  <si>
    <t>VUS</t>
  </si>
  <si>
    <t>Uncertain significance</t>
  </si>
  <si>
    <t>424578</t>
  </si>
  <si>
    <t>NM_004992.4:c.253C&gt;T</t>
  </si>
  <si>
    <t>NP_004983.1:p.Arg85Cys</t>
  </si>
  <si>
    <t>Exact RTT RCV classification: Uncertain significance</t>
  </si>
  <si>
    <t>RCV001775123.6</t>
  </si>
  <si>
    <t>reviewed by expert panel</t>
  </si>
  <si>
    <t>2022-12-08</t>
  </si>
  <si>
    <t>3</t>
  </si>
  <si>
    <t>https://www.ncbi.nlm.nih.gov/clinvar/variation/424578/</t>
  </si>
  <si>
    <t>S86C</t>
  </si>
  <si>
    <t>86</t>
  </si>
  <si>
    <t>143510</t>
  </si>
  <si>
    <t>NM_004992.4:c.257C&gt;G</t>
  </si>
  <si>
    <t>NP_004983.1:p.Ser86Cys</t>
  </si>
  <si>
    <t>RCV000133041.4</t>
  </si>
  <si>
    <t>2023-10-12</t>
  </si>
  <si>
    <t>2</t>
  </si>
  <si>
    <t>https://www.ncbi.nlm.nih.gov/clinvar/variation/143510/</t>
  </si>
  <si>
    <t>R89C</t>
  </si>
  <si>
    <t>89</t>
  </si>
  <si>
    <t>Benign</t>
  </si>
  <si>
    <t>590069</t>
  </si>
  <si>
    <t>NM_004992.4:c.265C&gt;T</t>
  </si>
  <si>
    <t>NP_004983.1:p.Arg89Cys</t>
  </si>
  <si>
    <t>Exact RTT RCV classification: Benign</t>
  </si>
  <si>
    <t>RCV004584220.2</t>
  </si>
  <si>
    <t>2024-04-18</t>
  </si>
  <si>
    <t>https://www.ncbi.nlm.nih.gov/clinvar/variation/590069/</t>
  </si>
  <si>
    <t>R91P</t>
  </si>
  <si>
    <t>91</t>
  </si>
  <si>
    <t>Not classified</t>
  </si>
  <si>
    <t>not provided</t>
  </si>
  <si>
    <t>Resolved in 3C2I</t>
  </si>
  <si>
    <t>Protein surface</t>
  </si>
  <si>
    <t>R91</t>
  </si>
  <si>
    <t>2811757</t>
  </si>
  <si>
    <t>NM_004992.4:c.272G&gt;C</t>
  </si>
  <si>
    <t>NP_004983.1:p.Arg91Pro</t>
  </si>
  <si>
    <t>Exact RTT RCV exists, but no definitive germline classification is provided.</t>
  </si>
  <si>
    <t>RCV003988136.3</t>
  </si>
  <si>
    <t>no classification provided</t>
  </si>
  <si>
    <t>24</t>
  </si>
  <si>
    <t>https://www.ncbi.nlm.nih.gov/clinvar/variation/2811757/</t>
  </si>
  <si>
    <t>R91Q</t>
  </si>
  <si>
    <t>1000879</t>
  </si>
  <si>
    <t>NM_004992.4:c.272G&gt;A</t>
  </si>
  <si>
    <t>NP_004983.1:p.Arg91Gln</t>
  </si>
  <si>
    <t>RCV003485703.1</t>
  </si>
  <si>
    <t>2023-11-22</t>
  </si>
  <si>
    <t>https://www.ncbi.nlm.nih.gov/clinvar/variation/1000879/</t>
  </si>
  <si>
    <t>P93S</t>
  </si>
  <si>
    <t>93</t>
  </si>
  <si>
    <t>P93</t>
  </si>
  <si>
    <t>143515</t>
  </si>
  <si>
    <t>NM_004992.4:c.277C&gt;T</t>
  </si>
  <si>
    <t>NP_004983.1:p.Pro93Ser</t>
  </si>
  <si>
    <t>Conflicting classifications of pathogenicity</t>
  </si>
  <si>
    <t>RCV000133046.4</t>
  </si>
  <si>
    <t>2024-03-18</t>
  </si>
  <si>
    <t>https://www.ncbi.nlm.nih.gov/clinvar/variation/143515/</t>
  </si>
  <si>
    <t>D97E</t>
  </si>
  <si>
    <t>97</t>
  </si>
  <si>
    <t>Protein interior</t>
  </si>
  <si>
    <t>D97</t>
  </si>
  <si>
    <t>143520</t>
  </si>
  <si>
    <t>NM_004992.4:c.291C&gt;A</t>
  </si>
  <si>
    <t>NP_004983.1:p.Asp97Glu</t>
  </si>
  <si>
    <t>RCV000133051.4</t>
  </si>
  <si>
    <t>https://www.ncbi.nlm.nih.gov/clinvar/variation/143520/</t>
  </si>
  <si>
    <t>D97Y</t>
  </si>
  <si>
    <t>P/LP group</t>
  </si>
  <si>
    <t>Likely pathogenic</t>
  </si>
  <si>
    <t>143517</t>
  </si>
  <si>
    <t>NM_004992.4:c.289G&gt;T</t>
  </si>
  <si>
    <t>NP_004983.1:p.Asp97Tyr</t>
  </si>
  <si>
    <t>Yes</t>
  </si>
  <si>
    <t>Exact RTT RCV classification: Likely pathogenic</t>
  </si>
  <si>
    <t>RCV000133048.5</t>
  </si>
  <si>
    <t>2024-01-10</t>
  </si>
  <si>
    <t>https://www.ncbi.nlm.nih.gov/clinvar/variation/143517/</t>
  </si>
  <si>
    <t>T99P</t>
  </si>
  <si>
    <t>99</t>
  </si>
  <si>
    <t>T99</t>
  </si>
  <si>
    <t>859603</t>
  </si>
  <si>
    <t>NM_004992.4:c.295A&gt;C</t>
  </si>
  <si>
    <t>NP_004983.1:p.Thr99Pro</t>
  </si>
  <si>
    <t>RCV001507069.5</t>
  </si>
  <si>
    <t>2026-01-28</t>
  </si>
  <si>
    <t>https://www.ncbi.nlm.nih.gov/clinvar/variation/859603/</t>
  </si>
  <si>
    <t>L100R</t>
  </si>
  <si>
    <t>100</t>
  </si>
  <si>
    <t>L100</t>
  </si>
  <si>
    <t>143523</t>
  </si>
  <si>
    <t>NM_004992.4:c.299T&gt;G</t>
  </si>
  <si>
    <t>NP_004983.1:p.Leu100Arg</t>
  </si>
  <si>
    <t>RCV000133055.5</t>
  </si>
  <si>
    <t>2024-01-11</t>
  </si>
  <si>
    <t>https://www.ncbi.nlm.nih.gov/clinvar/variation/143523/</t>
  </si>
  <si>
    <t>L100V</t>
  </si>
  <si>
    <t>Pathogenic</t>
  </si>
  <si>
    <t>11835</t>
  </si>
  <si>
    <t>NM_004992.4:c.298C&gt;G</t>
  </si>
  <si>
    <t>NP_004983.1:p.Leu100Val</t>
  </si>
  <si>
    <t>Exact RTT RCV classification: Pathogenic</t>
  </si>
  <si>
    <t>RCV000012608.30</t>
  </si>
  <si>
    <t>2022-05-10</t>
  </si>
  <si>
    <t>4</t>
  </si>
  <si>
    <t>https://www.ncbi.nlm.nih.gov/clinvar/variation/11835/</t>
  </si>
  <si>
    <t>P101H</t>
  </si>
  <si>
    <t>101</t>
  </si>
  <si>
    <t>P101</t>
  </si>
  <si>
    <t>143525</t>
  </si>
  <si>
    <t>NM_004992.4:c.302C&gt;A</t>
  </si>
  <si>
    <t>NP_004983.1:p.Pro101His</t>
  </si>
  <si>
    <t>RCV000133057.4</t>
  </si>
  <si>
    <t>https://www.ncbi.nlm.nih.gov/clinvar/variation/143525/</t>
  </si>
  <si>
    <t>P101L</t>
  </si>
  <si>
    <t>143527</t>
  </si>
  <si>
    <t>NM_004992.4:c.302C&gt;T</t>
  </si>
  <si>
    <t>NP_004983.1:p.Pro101Leu</t>
  </si>
  <si>
    <t>RCV000133059.4</t>
  </si>
  <si>
    <t>2024-03-20</t>
  </si>
  <si>
    <t>https://www.ncbi.nlm.nih.gov/clinvar/variation/143527/</t>
  </si>
  <si>
    <t>P101R</t>
  </si>
  <si>
    <t>143526</t>
  </si>
  <si>
    <t>NM_004992.4:c.302C&gt;G</t>
  </si>
  <si>
    <t>NP_004983.1:p.Pro101Arg</t>
  </si>
  <si>
    <t>RCV000170238.12</t>
  </si>
  <si>
    <t>2022-04-28</t>
  </si>
  <si>
    <t>5</t>
  </si>
  <si>
    <t>https://www.ncbi.nlm.nih.gov/clinvar/variation/143526/</t>
  </si>
  <si>
    <t>P101S</t>
  </si>
  <si>
    <t>143524</t>
  </si>
  <si>
    <t>NM_004992.4:c.301C&gt;T</t>
  </si>
  <si>
    <t>NP_004983.1:p.Pro101Ser</t>
  </si>
  <si>
    <t>RCV000133056.12</t>
  </si>
  <si>
    <t>2021-03-26</t>
  </si>
  <si>
    <t>https://www.ncbi.nlm.nih.gov/clinvar/variation/143524/</t>
  </si>
  <si>
    <t>G103D</t>
  </si>
  <si>
    <t>103</t>
  </si>
  <si>
    <t>G103</t>
  </si>
  <si>
    <t>143528</t>
  </si>
  <si>
    <t>NM_004992.4:c.308G&gt;A</t>
  </si>
  <si>
    <t>NP_004983.1:p.Gly103Asp</t>
  </si>
  <si>
    <t>RCV000133060.5</t>
  </si>
  <si>
    <t>2024-01-15</t>
  </si>
  <si>
    <t>https://www.ncbi.nlm.nih.gov/clinvar/variation/143528/</t>
  </si>
  <si>
    <t>W104R</t>
  </si>
  <si>
    <t>104</t>
  </si>
  <si>
    <t>W104</t>
  </si>
  <si>
    <t>143529</t>
  </si>
  <si>
    <t>NM_004992.4:c.310T&gt;C</t>
  </si>
  <si>
    <t>NP_004983.1:p.Trp104Arg</t>
  </si>
  <si>
    <t>RCV000133061.4</t>
  </si>
  <si>
    <t>https://www.ncbi.nlm.nih.gov/clinvar/variation/143529/</t>
  </si>
  <si>
    <t>R106G</t>
  </si>
  <si>
    <t>106</t>
  </si>
  <si>
    <t>R106</t>
  </si>
  <si>
    <t>143533</t>
  </si>
  <si>
    <t>NM_004992.4:c.316C&gt;G</t>
  </si>
  <si>
    <t>NP_004983.1:p.Arg106Gly</t>
  </si>
  <si>
    <t>RCV000133065.5</t>
  </si>
  <si>
    <t>2024-03-13</t>
  </si>
  <si>
    <t>https://www.ncbi.nlm.nih.gov/clinvar/variation/143533/</t>
  </si>
  <si>
    <t>R106L</t>
  </si>
  <si>
    <t>143535</t>
  </si>
  <si>
    <t>NM_004992.4:c.317G&gt;T</t>
  </si>
  <si>
    <t>NP_004983.1:p.Arg106Leu</t>
  </si>
  <si>
    <t>Pathogenic/Likely pathogenic</t>
  </si>
  <si>
    <t>RCV000133068.5</t>
  </si>
  <si>
    <t>https://www.ncbi.nlm.nih.gov/clinvar/variation/143535/</t>
  </si>
  <si>
    <t>R106Q</t>
  </si>
  <si>
    <t>143534</t>
  </si>
  <si>
    <t>NM_004992.4:c.317G&gt;A</t>
  </si>
  <si>
    <t>NP_004983.1:p.Arg106Gln</t>
  </si>
  <si>
    <t>RCV000133067.8</t>
  </si>
  <si>
    <t>2023-11-03</t>
  </si>
  <si>
    <t>https://www.ncbi.nlm.nih.gov/clinvar/variation/143534/</t>
  </si>
  <si>
    <t>R106W</t>
  </si>
  <si>
    <t>11814</t>
  </si>
  <si>
    <t>NM_004992.4:c.316C&gt;T</t>
  </si>
  <si>
    <t>NP_004983.1:p.Arg106Trp</t>
  </si>
  <si>
    <t>Exact RTT RCV classification: Pathogenic/Likely pathogenic</t>
  </si>
  <si>
    <t>RCV000012585.68</t>
  </si>
  <si>
    <t>criteria provided, multiple submitters, no conflicts</t>
  </si>
  <si>
    <t>2025-12-01</t>
  </si>
  <si>
    <t>18</t>
  </si>
  <si>
    <t>https://www.ncbi.nlm.nih.gov/clinvar/variation/11814/</t>
  </si>
  <si>
    <t>L108H</t>
  </si>
  <si>
    <t>108</t>
  </si>
  <si>
    <t>L108</t>
  </si>
  <si>
    <t>143536</t>
  </si>
  <si>
    <t>NM_004992.4:c.323T&gt;A</t>
  </si>
  <si>
    <t>NP_004983.1:p.Leu108His</t>
  </si>
  <si>
    <t>RCV000133069.5</t>
  </si>
  <si>
    <t>2024-03-26</t>
  </si>
  <si>
    <t>https://www.ncbi.nlm.nih.gov/clinvar/variation/143536/</t>
  </si>
  <si>
    <t>L108P</t>
  </si>
  <si>
    <t>2499592</t>
  </si>
  <si>
    <t>NM_004992.4:c.323T&gt;C</t>
  </si>
  <si>
    <t>NP_004983.1:p.Leu108Pro</t>
  </si>
  <si>
    <t>RCV003223521.2</t>
  </si>
  <si>
    <t>2023-04-20</t>
  </si>
  <si>
    <t>https://www.ncbi.nlm.nih.gov/clinvar/variation/2499592/</t>
  </si>
  <si>
    <t>R111G</t>
  </si>
  <si>
    <t>111</t>
  </si>
  <si>
    <t>Protein-DNA interface</t>
  </si>
  <si>
    <t>R111</t>
  </si>
  <si>
    <t>143538</t>
  </si>
  <si>
    <t>NM_004992.4:c.331A&gt;G</t>
  </si>
  <si>
    <t>NP_004983.1:p.Arg111Gly</t>
  </si>
  <si>
    <t>RCV000133071.3</t>
  </si>
  <si>
    <t>https://www.ncbi.nlm.nih.gov/clinvar/variation/143538/</t>
  </si>
  <si>
    <t>R111K</t>
  </si>
  <si>
    <t>374353</t>
  </si>
  <si>
    <t>NM_004992.4:c.332G&gt;A</t>
  </si>
  <si>
    <t>NP_004983.1:p.Arg111Lys</t>
  </si>
  <si>
    <t>RCV000415409.9</t>
  </si>
  <si>
    <t>no assertion criteria provided</t>
  </si>
  <si>
    <t>2014-06-30</t>
  </si>
  <si>
    <t>https://www.ncbi.nlm.nih.gov/clinvar/variation/374353/</t>
  </si>
  <si>
    <t>G114A</t>
  </si>
  <si>
    <t>114</t>
  </si>
  <si>
    <t>G114</t>
  </si>
  <si>
    <t>143540</t>
  </si>
  <si>
    <t>NM_004992.4:c.341G&gt;C</t>
  </si>
  <si>
    <t>NP_004983.1:p.Gly114Ala</t>
  </si>
  <si>
    <t>RCV000133073.5</t>
  </si>
  <si>
    <t>https://www.ncbi.nlm.nih.gov/clinvar/variation/143540/</t>
  </si>
  <si>
    <t>R115C</t>
  </si>
  <si>
    <t>115</t>
  </si>
  <si>
    <t>R115</t>
  </si>
  <si>
    <t>143541</t>
  </si>
  <si>
    <t>NM_004992.4:c.343C&gt;T</t>
  </si>
  <si>
    <t>NP_004983.1:p.Arg115Cys</t>
  </si>
  <si>
    <t>RCV001800452.6</t>
  </si>
  <si>
    <t>2023-08-28</t>
  </si>
  <si>
    <t>https://www.ncbi.nlm.nih.gov/clinvar/variation/143541/</t>
  </si>
  <si>
    <t>R115H</t>
  </si>
  <si>
    <t>2505626</t>
  </si>
  <si>
    <t>NM_004992.4:c.344G&gt;A</t>
  </si>
  <si>
    <t>NP_004983.1:p.Arg115His</t>
  </si>
  <si>
    <t>RCV004820290.1</t>
  </si>
  <si>
    <t>2024-08-30</t>
  </si>
  <si>
    <t>https://www.ncbi.nlm.nih.gov/clinvar/variation/2505626/</t>
  </si>
  <si>
    <t>A117G</t>
  </si>
  <si>
    <t>117</t>
  </si>
  <si>
    <t>A117</t>
  </si>
  <si>
    <t>2445701</t>
  </si>
  <si>
    <t>NM_004992.4:c.350C&gt;G</t>
  </si>
  <si>
    <t>NP_004983.1:p.Ala117Gly</t>
  </si>
  <si>
    <t>RCV003155620.1</t>
  </si>
  <si>
    <t>2023-02-28</t>
  </si>
  <si>
    <t>https://www.ncbi.nlm.nih.gov/clinvar/variation/2445701/</t>
  </si>
  <si>
    <t>G118E</t>
  </si>
  <si>
    <t>118</t>
  </si>
  <si>
    <t>G118</t>
  </si>
  <si>
    <t>3237211</t>
  </si>
  <si>
    <t>NM_004992.4:c.353G&gt;A</t>
  </si>
  <si>
    <t>NP_004983.1:p.Gly118Glu</t>
  </si>
  <si>
    <t>RCV005054003.1</t>
  </si>
  <si>
    <t>2024-12-02</t>
  </si>
  <si>
    <t>https://www.ncbi.nlm.nih.gov/clinvar/variation/3237211/</t>
  </si>
  <si>
    <t>Y120D</t>
  </si>
  <si>
    <t>120</t>
  </si>
  <si>
    <t>Y120</t>
  </si>
  <si>
    <t>143543</t>
  </si>
  <si>
    <t>NM_004992.4:c.358T&gt;G</t>
  </si>
  <si>
    <t>NP_004983.1:p.Tyr120Asp</t>
  </si>
  <si>
    <t>RCV000133076.5</t>
  </si>
  <si>
    <t>2023-11-09</t>
  </si>
  <si>
    <t>https://www.ncbi.nlm.nih.gov/clinvar/variation/143543/</t>
  </si>
  <si>
    <t>D121G</t>
  </si>
  <si>
    <t>121</t>
  </si>
  <si>
    <t>D121</t>
  </si>
  <si>
    <t>143545</t>
  </si>
  <si>
    <t>NM_004992.4:c.362A&gt;G</t>
  </si>
  <si>
    <t>NP_004983.1:p.Asp121Gly</t>
  </si>
  <si>
    <t>RCV003990984.1</t>
  </si>
  <si>
    <t>https://www.ncbi.nlm.nih.gov/clinvar/variation/143545/</t>
  </si>
  <si>
    <t>D121N</t>
  </si>
  <si>
    <t>4279604</t>
  </si>
  <si>
    <t>NM_004992.4:c.361G&gt;A</t>
  </si>
  <si>
    <t>NP_004983.1:p.Asp121Asn</t>
  </si>
  <si>
    <t>RCV005862654.1</t>
  </si>
  <si>
    <t>2025-08-01</t>
  </si>
  <si>
    <t>https://www.ncbi.nlm.nih.gov/clinvar/variation/4279604/</t>
  </si>
  <si>
    <t>D121V</t>
  </si>
  <si>
    <t>1098273</t>
  </si>
  <si>
    <t>NM_004992.4:c.362A&gt;T</t>
  </si>
  <si>
    <t>NP_004983.1:p.Asp121Val</t>
  </si>
  <si>
    <t>RCV001420143.1</t>
  </si>
  <si>
    <t>2021-05-13</t>
  </si>
  <si>
    <t>https://www.ncbi.nlm.nih.gov/clinvar/variation/1098273/</t>
  </si>
  <si>
    <t>V122A</t>
  </si>
  <si>
    <t>122</t>
  </si>
  <si>
    <t>V122</t>
  </si>
  <si>
    <t>143547</t>
  </si>
  <si>
    <t>NM_004992.4:c.365T&gt;C</t>
  </si>
  <si>
    <t>NP_004983.1:p.Val122Ala</t>
  </si>
  <si>
    <t>RCV003483517.2</t>
  </si>
  <si>
    <t>https://www.ncbi.nlm.nih.gov/clinvar/variation/143547/</t>
  </si>
  <si>
    <t>V122M</t>
  </si>
  <si>
    <t>143546</t>
  </si>
  <si>
    <t>NM_004992.4:c.364G&gt;A</t>
  </si>
  <si>
    <t>NP_004983.1:p.Val122Met</t>
  </si>
  <si>
    <t>RCV000133079.9</t>
  </si>
  <si>
    <t>2021-10-26</t>
  </si>
  <si>
    <t>https://www.ncbi.nlm.nih.gov/clinvar/variation/143546/</t>
  </si>
  <si>
    <t>L124F</t>
  </si>
  <si>
    <t>124</t>
  </si>
  <si>
    <t>L124</t>
  </si>
  <si>
    <t>143549; 143550</t>
  </si>
  <si>
    <t>NM_004992.4:c.372G&gt;C; NM_004992.4:c.372G&gt;T</t>
  </si>
  <si>
    <t>NP_004983.1:p.Leu124Phe</t>
  </si>
  <si>
    <t>RCV000133082.6; RCV000133083.7</t>
  </si>
  <si>
    <t>2022-10-11</t>
  </si>
  <si>
    <t>https://www.ncbi.nlm.nih.gov/clinvar/variation/143549/ | https://www.ncbi.nlm.nih.gov/clinvar/variation/143550/</t>
  </si>
  <si>
    <t>L124W</t>
  </si>
  <si>
    <t>3602067</t>
  </si>
  <si>
    <t>NM_004992.4:c.371T&gt;G</t>
  </si>
  <si>
    <t>NP_004983.1:p.Leu124Trp</t>
  </si>
  <si>
    <t>RCV005054107.1</t>
  </si>
  <si>
    <t>https://www.ncbi.nlm.nih.gov/clinvar/variation/3602067/</t>
  </si>
  <si>
    <t>N126I</t>
  </si>
  <si>
    <t>126</t>
  </si>
  <si>
    <t>N126</t>
  </si>
  <si>
    <t>2687738</t>
  </si>
  <si>
    <t>NM_004992.4:c.377A&gt;T</t>
  </si>
  <si>
    <t>NP_004983.1:p.Asn126Ile</t>
  </si>
  <si>
    <t>RCV003484978.2</t>
  </si>
  <si>
    <t>https://www.ncbi.nlm.nih.gov/clinvar/variation/2687738/</t>
  </si>
  <si>
    <t>N126S</t>
  </si>
  <si>
    <t>189760</t>
  </si>
  <si>
    <t>NM_004992.4:c.377A&gt;G</t>
  </si>
  <si>
    <t>NP_004983.1:p.Asn126Ser</t>
  </si>
  <si>
    <t>RCV003991024.1</t>
  </si>
  <si>
    <t>2024-03-15</t>
  </si>
  <si>
    <t>https://www.ncbi.nlm.nih.gov/clinvar/variation/189760/</t>
  </si>
  <si>
    <t>P127L</t>
  </si>
  <si>
    <t>127</t>
  </si>
  <si>
    <t>P127</t>
  </si>
  <si>
    <t>143552</t>
  </si>
  <si>
    <t>NM_004992.4:c.380C&gt;T</t>
  </si>
  <si>
    <t>NP_004983.1:p.Pro127Leu</t>
  </si>
  <si>
    <t>RCV000133085.10</t>
  </si>
  <si>
    <t>https://www.ncbi.nlm.nih.gov/clinvar/variation/143552/</t>
  </si>
  <si>
    <t>Q128P</t>
  </si>
  <si>
    <t>128</t>
  </si>
  <si>
    <t>Q128</t>
  </si>
  <si>
    <t>143554</t>
  </si>
  <si>
    <t>NM_004992.4:c.383A&gt;C</t>
  </si>
  <si>
    <t>NP_004983.1:p.Gln128Pro</t>
  </si>
  <si>
    <t>RCV000133087.5</t>
  </si>
  <si>
    <t>https://www.ncbi.nlm.nih.gov/clinvar/variation/143554/</t>
  </si>
  <si>
    <t>G129V</t>
  </si>
  <si>
    <t>129</t>
  </si>
  <si>
    <t>G129</t>
  </si>
  <si>
    <t>143555</t>
  </si>
  <si>
    <t>NM_004992.4:c.386G&gt;T</t>
  </si>
  <si>
    <t>NP_004983.1:p.Gly129Val</t>
  </si>
  <si>
    <t>RCV000133088.4</t>
  </si>
  <si>
    <t>2024-03-14</t>
  </si>
  <si>
    <t>https://www.ncbi.nlm.nih.gov/clinvar/variation/143555/</t>
  </si>
  <si>
    <t>K130R</t>
  </si>
  <si>
    <t>130</t>
  </si>
  <si>
    <t>K130</t>
  </si>
  <si>
    <t>4756111</t>
  </si>
  <si>
    <t>NM_004992.4:c.389A&gt;G</t>
  </si>
  <si>
    <t>NP_004983.1:p.Lys130Arg</t>
  </si>
  <si>
    <t>RCV006549060.1</t>
  </si>
  <si>
    <t>2026-01-25</t>
  </si>
  <si>
    <t>https://www.ncbi.nlm.nih.gov/clinvar/variation/4756111/</t>
  </si>
  <si>
    <t>A131D</t>
  </si>
  <si>
    <t>131</t>
  </si>
  <si>
    <t>A131</t>
  </si>
  <si>
    <t>143556</t>
  </si>
  <si>
    <t>NM_004992.4:c.392C&gt;A</t>
  </si>
  <si>
    <t>NP_004983.1:p.Ala131Asp</t>
  </si>
  <si>
    <t>RCV000133089.6</t>
  </si>
  <si>
    <t>https://www.ncbi.nlm.nih.gov/clinvar/variation/143556/</t>
  </si>
  <si>
    <t>R133C</t>
  </si>
  <si>
    <t>133</t>
  </si>
  <si>
    <t>R133</t>
  </si>
  <si>
    <t>11809</t>
  </si>
  <si>
    <t>NM_004992.4:c.397C&gt;T</t>
  </si>
  <si>
    <t>NP_004983.1:p.Arg133Cys</t>
  </si>
  <si>
    <t>RCV000030666.76</t>
  </si>
  <si>
    <t>30</t>
  </si>
  <si>
    <t>https://www.ncbi.nlm.nih.gov/clinvar/variation/11809/</t>
  </si>
  <si>
    <t>R133G</t>
  </si>
  <si>
    <t>143558</t>
  </si>
  <si>
    <t>NM_004992.4:c.397C&gt;G</t>
  </si>
  <si>
    <t>NP_004983.1:p.Arg133Gly</t>
  </si>
  <si>
    <t>RCV000133091.5</t>
  </si>
  <si>
    <t>https://www.ncbi.nlm.nih.gov/clinvar/variation/143558/</t>
  </si>
  <si>
    <t>R133H</t>
  </si>
  <si>
    <t>143559</t>
  </si>
  <si>
    <t>NM_004992.4:c.398G&gt;A</t>
  </si>
  <si>
    <t>NP_004983.1:p.Arg133His</t>
  </si>
  <si>
    <t>RCV000169945.7</t>
  </si>
  <si>
    <t>https://www.ncbi.nlm.nih.gov/clinvar/variation/143559/</t>
  </si>
  <si>
    <t>R133L</t>
  </si>
  <si>
    <t>143560</t>
  </si>
  <si>
    <t>NM_004992.4:c.398G&gt;T</t>
  </si>
  <si>
    <t>NP_004983.1:p.Arg133Leu</t>
  </si>
  <si>
    <t>RCV000133093.7</t>
  </si>
  <si>
    <t>https://www.ncbi.nlm.nih.gov/clinvar/variation/143560/</t>
  </si>
  <si>
    <t>R133P</t>
  </si>
  <si>
    <t>1679147</t>
  </si>
  <si>
    <t>NM_004992.4:c.398G&gt;C</t>
  </si>
  <si>
    <t>NP_004983.1:p.Arg133Pro</t>
  </si>
  <si>
    <t>RCV002226590.6</t>
  </si>
  <si>
    <t>2025-04-07</t>
  </si>
  <si>
    <t>https://www.ncbi.nlm.nih.gov/clinvar/variation/1679147/</t>
  </si>
  <si>
    <t>S134C</t>
  </si>
  <si>
    <t>134</t>
  </si>
  <si>
    <t>S134</t>
  </si>
  <si>
    <t>143562</t>
  </si>
  <si>
    <t>NM_004992.4:c.401C&gt;G</t>
  </si>
  <si>
    <t>NP_004983.1:p.Ser134Cys</t>
  </si>
  <si>
    <t>RCV000133095.29</t>
  </si>
  <si>
    <t>2024-03-08</t>
  </si>
  <si>
    <t>13</t>
  </si>
  <si>
    <t>https://www.ncbi.nlm.nih.gov/clinvar/variation/143562/</t>
  </si>
  <si>
    <t>S134F</t>
  </si>
  <si>
    <t>143563</t>
  </si>
  <si>
    <t>NM_004992.4:c.401C&gt;T</t>
  </si>
  <si>
    <t>NP_004983.1:p.Ser134Phe</t>
  </si>
  <si>
    <t>RCV000133096.8</t>
  </si>
  <si>
    <t>https://www.ncbi.nlm.nih.gov/clinvar/variation/143563/</t>
  </si>
  <si>
    <t>S134P</t>
  </si>
  <si>
    <t>143561</t>
  </si>
  <si>
    <t>NM_004992.4:c.400T&gt;C</t>
  </si>
  <si>
    <t>NP_004983.1:p.Ser134Pro</t>
  </si>
  <si>
    <t>RCV000133094.5</t>
  </si>
  <si>
    <t>https://www.ncbi.nlm.nih.gov/clinvar/variation/143561/</t>
  </si>
  <si>
    <t>K135E</t>
  </si>
  <si>
    <t>135</t>
  </si>
  <si>
    <t>K135</t>
  </si>
  <si>
    <t>143564</t>
  </si>
  <si>
    <t>NM_004992.4:c.403A&gt;G</t>
  </si>
  <si>
    <t>NP_004983.1:p.Lys135Glu</t>
  </si>
  <si>
    <t>RCV000133097.10</t>
  </si>
  <si>
    <t>https://www.ncbi.nlm.nih.gov/clinvar/variation/143564/</t>
  </si>
  <si>
    <t>L138F</t>
  </si>
  <si>
    <t>138</t>
  </si>
  <si>
    <t>L138</t>
  </si>
  <si>
    <t>3024298</t>
  </si>
  <si>
    <t>NM_004992.4:c.414G&gt;C</t>
  </si>
  <si>
    <t>NP_004983.1:p.Leu138Phe</t>
  </si>
  <si>
    <t>Rett in multi-condition RCV only</t>
  </si>
  <si>
    <t>VCV global classification (fallback)</t>
  </si>
  <si>
    <t>Variant-level global; not RTT-specific</t>
  </si>
  <si>
    <t>No exact Rett syndrome RCV is available; VCV global germline classification is used as the fallback classification.</t>
  </si>
  <si>
    <t>RCV003883344.1</t>
  </si>
  <si>
    <t>Autism, susceptibility to, X-linked 3; Rett syndrome; Severe neonatal-onset encephalopathy with microcephaly; Syndromic X-linked intellectual disability Lubs type; X-linked intellectual disability-psychosis-macroorchidism syndrome</t>
  </si>
  <si>
    <t>https://www.ncbi.nlm.nih.gov/clinvar/variation/3024298/</t>
  </si>
  <si>
    <t>L138S</t>
  </si>
  <si>
    <t>143567</t>
  </si>
  <si>
    <t>NM_004992.4:c.413T&gt;C</t>
  </si>
  <si>
    <t>NP_004983.1:p.Leu138Ser</t>
  </si>
  <si>
    <t>RCV000133101.5</t>
  </si>
  <si>
    <t>2024-01-18</t>
  </si>
  <si>
    <t>https://www.ncbi.nlm.nih.gov/clinvar/variation/143567/</t>
  </si>
  <si>
    <t>A140V</t>
  </si>
  <si>
    <t>140</t>
  </si>
  <si>
    <t>M140</t>
  </si>
  <si>
    <t>11823</t>
  </si>
  <si>
    <t>NM_004992.4:c.419C&gt;T</t>
  </si>
  <si>
    <t>NP_004983.1:p.Ala140Val</t>
  </si>
  <si>
    <t>RCV000020628.22</t>
  </si>
  <si>
    <t>2025-06-09</t>
  </si>
  <si>
    <t>https://www.ncbi.nlm.nih.gov/clinvar/variation/11823/</t>
  </si>
  <si>
    <t>Y141C</t>
  </si>
  <si>
    <t>141</t>
  </si>
  <si>
    <t>Y141</t>
  </si>
  <si>
    <t>143569</t>
  </si>
  <si>
    <t>NM_004992.4:c.422A&gt;G</t>
  </si>
  <si>
    <t>NP_004983.1:p.Tyr141Cys</t>
  </si>
  <si>
    <t>RCV000133104.5</t>
  </si>
  <si>
    <t>2024-01-09</t>
  </si>
  <si>
    <t>https://www.ncbi.nlm.nih.gov/clinvar/variation/143569/</t>
  </si>
  <si>
    <t>E143K</t>
  </si>
  <si>
    <t>143</t>
  </si>
  <si>
    <t>E143</t>
  </si>
  <si>
    <t>1432259</t>
  </si>
  <si>
    <t>NM_004992.4:c.427G&gt;A</t>
  </si>
  <si>
    <t>NP_004983.1:p.Glu143Lys</t>
  </si>
  <si>
    <t>RCV005209561.1</t>
  </si>
  <si>
    <t>2024-01-19</t>
  </si>
  <si>
    <t>https://www.ncbi.nlm.nih.gov/clinvar/variation/1432259/</t>
  </si>
  <si>
    <t>K144R</t>
  </si>
  <si>
    <t>144</t>
  </si>
  <si>
    <t>K144</t>
  </si>
  <si>
    <t>189627</t>
  </si>
  <si>
    <t>NM_004992.4:c.431A&gt;G</t>
  </si>
  <si>
    <t>NP_004983.1:p.Lys144Arg</t>
  </si>
  <si>
    <t>RCV003380500.2</t>
  </si>
  <si>
    <t>https://www.ncbi.nlm.nih.gov/clinvar/variation/189627/</t>
  </si>
  <si>
    <t>D147N</t>
  </si>
  <si>
    <t>147</t>
  </si>
  <si>
    <t>D147</t>
  </si>
  <si>
    <t>143575</t>
  </si>
  <si>
    <t>NM_004992.4:c.439G&gt;A</t>
  </si>
  <si>
    <t>NP_004983.1:p.Asp147Asn</t>
  </si>
  <si>
    <t>RCV003990986.1</t>
  </si>
  <si>
    <t>https://www.ncbi.nlm.nih.gov/clinvar/variation/143575/</t>
  </si>
  <si>
    <t>T148A</t>
  </si>
  <si>
    <t>148</t>
  </si>
  <si>
    <t>T148</t>
  </si>
  <si>
    <t>717385</t>
  </si>
  <si>
    <t>NM_004992.4:c.442A&gt;G</t>
  </si>
  <si>
    <t>NP_004983.1:p.Thr148Ala</t>
  </si>
  <si>
    <t>RCV006272301.1</t>
  </si>
  <si>
    <t>2025-10-28</t>
  </si>
  <si>
    <t>https://www.ncbi.nlm.nih.gov/clinvar/variation/717385/</t>
  </si>
  <si>
    <t>S149Y</t>
  </si>
  <si>
    <t>149</t>
  </si>
  <si>
    <t>S149</t>
  </si>
  <si>
    <t>3602014</t>
  </si>
  <si>
    <t>NM_004992.4:c.446C&gt;A</t>
  </si>
  <si>
    <t>NP_004983.1:p.Ser149Tyr</t>
  </si>
  <si>
    <t>RCV005054054.1</t>
  </si>
  <si>
    <t>https://www.ncbi.nlm.nih.gov/clinvar/variation/3602014/</t>
  </si>
  <si>
    <t>D151A</t>
  </si>
  <si>
    <t>151</t>
  </si>
  <si>
    <t>D151</t>
  </si>
  <si>
    <t>3391008</t>
  </si>
  <si>
    <t>NM_004992.4:c.452A&gt;C</t>
  </si>
  <si>
    <t>NP_004983.1:p.Asp151Ala</t>
  </si>
  <si>
    <t>RCV004813396.2</t>
  </si>
  <si>
    <t>2024-11-22</t>
  </si>
  <si>
    <t>https://www.ncbi.nlm.nih.gov/clinvar/variation/3391008/</t>
  </si>
  <si>
    <t>D151G</t>
  </si>
  <si>
    <t>143578</t>
  </si>
  <si>
    <t>NM_004992.4:c.452A&gt;G</t>
  </si>
  <si>
    <t>NP_004983.1:p.Asp151Gly</t>
  </si>
  <si>
    <t>RCV000133114.14</t>
  </si>
  <si>
    <t>2023-10-13</t>
  </si>
  <si>
    <t>https://www.ncbi.nlm.nih.gov/clinvar/variation/143578/</t>
  </si>
  <si>
    <t>D151Y</t>
  </si>
  <si>
    <t>444834</t>
  </si>
  <si>
    <t>NM_004992.4:c.451G&gt;T</t>
  </si>
  <si>
    <t>NP_004983.1:p.Asp151Tyr</t>
  </si>
  <si>
    <t>RCV000991004.3</t>
  </si>
  <si>
    <t>https://www.ncbi.nlm.nih.gov/clinvar/variation/444834/</t>
  </si>
  <si>
    <t>P152A</t>
  </si>
  <si>
    <t>152</t>
  </si>
  <si>
    <t>P152</t>
  </si>
  <si>
    <t>11844</t>
  </si>
  <si>
    <t>NM_004992.4:c.454C&gt;G</t>
  </si>
  <si>
    <t>NP_004983.1:p.Pro152Ala</t>
  </si>
  <si>
    <t>RCV000991003.12</t>
  </si>
  <si>
    <t>https://www.ncbi.nlm.nih.gov/clinvar/variation/11844/</t>
  </si>
  <si>
    <t>P152L</t>
  </si>
  <si>
    <t>3066414</t>
  </si>
  <si>
    <t>NM_004992.4:c.455C&gt;T</t>
  </si>
  <si>
    <t>NP_004983.1:p.Pro152Leu</t>
  </si>
  <si>
    <t>RCV003991418.1</t>
  </si>
  <si>
    <t>https://www.ncbi.nlm.nih.gov/clinvar/variation/3066414/</t>
  </si>
  <si>
    <t>P152R</t>
  </si>
  <si>
    <t>143579</t>
  </si>
  <si>
    <t>NM_004992.4:c.455C&gt;G</t>
  </si>
  <si>
    <t>NP_004983.1:p.Pro152Arg</t>
  </si>
  <si>
    <t>RCV000133116.24</t>
  </si>
  <si>
    <t>https://www.ncbi.nlm.nih.gov/clinvar/variation/143579/</t>
  </si>
  <si>
    <t>P152T</t>
  </si>
  <si>
    <t>2029588</t>
  </si>
  <si>
    <t>NM_004992.4:c.454C&gt;A</t>
  </si>
  <si>
    <t>NP_004983.1:p.Pro152Thr</t>
  </si>
  <si>
    <t>RCV005636622.1</t>
  </si>
  <si>
    <t>2024-07-10</t>
  </si>
  <si>
    <t>https://www.ncbi.nlm.nih.gov/clinvar/variation/2029588/</t>
  </si>
  <si>
    <t>F155C</t>
  </si>
  <si>
    <t>155</t>
  </si>
  <si>
    <t>F155</t>
  </si>
  <si>
    <t>143581</t>
  </si>
  <si>
    <t>NM_004992.4:c.464T&gt;G</t>
  </si>
  <si>
    <t>NP_004983.1:p.Phe155Cys</t>
  </si>
  <si>
    <t>RCV000170275.3</t>
  </si>
  <si>
    <t>https://www.ncbi.nlm.nih.gov/clinvar/variation/143581/</t>
  </si>
  <si>
    <t>F155I</t>
  </si>
  <si>
    <t>143580</t>
  </si>
  <si>
    <t>NM_004992.4:c.463T&gt;A</t>
  </si>
  <si>
    <t>NP_004983.1:p.Phe155Ile</t>
  </si>
  <si>
    <t>RCV000133117.4</t>
  </si>
  <si>
    <t>https://www.ncbi.nlm.nih.gov/clinvar/variation/143580/</t>
  </si>
  <si>
    <t>F155S</t>
  </si>
  <si>
    <t>11810</t>
  </si>
  <si>
    <t>NM_004992.4:c.464T&gt;C</t>
  </si>
  <si>
    <t>NP_004983.1:p.Phe155Ser</t>
  </si>
  <si>
    <t>RCV000012579.24</t>
  </si>
  <si>
    <t>https://www.ncbi.nlm.nih.gov/clinvar/variation/11810/</t>
  </si>
  <si>
    <t>D156A</t>
  </si>
  <si>
    <t>156</t>
  </si>
  <si>
    <t>D156</t>
  </si>
  <si>
    <t>143582</t>
  </si>
  <si>
    <t>NM_004992.4:c.467A&gt;C</t>
  </si>
  <si>
    <t>NP_004983.1:p.Asp156Ala</t>
  </si>
  <si>
    <t>RCV000133120.5</t>
  </si>
  <si>
    <t>https://www.ncbi.nlm.nih.gov/clinvar/variation/143582/</t>
  </si>
  <si>
    <t>D156E</t>
  </si>
  <si>
    <t>Pathogenic; Likely pathogenic</t>
  </si>
  <si>
    <t>95196; 393489</t>
  </si>
  <si>
    <t>NM_004992.4:c.468C&gt;G; NM_004992.4:c.468C&gt;A</t>
  </si>
  <si>
    <t>NP_004983.1:p.Asp156Glu</t>
  </si>
  <si>
    <t>P/LP concordant across multiple SNVs</t>
  </si>
  <si>
    <t>Multiple SNVs produce the same protein change; all exact RTT RCV classifications fall within P/LP.</t>
  </si>
  <si>
    <t>RCV000169946.25; RCV000445574.5</t>
  </si>
  <si>
    <t>criteria provided, multiple submitters, no conflicts; criteria provided, single submitter</t>
  </si>
  <si>
    <t>2024-03-08; 2015-07-14</t>
  </si>
  <si>
    <t>7; 1</t>
  </si>
  <si>
    <t>https://www.ncbi.nlm.nih.gov/clinvar/variation/95196/ | https://www.ncbi.nlm.nih.gov/clinvar/variation/393489/</t>
  </si>
  <si>
    <t>D156G</t>
  </si>
  <si>
    <t>143583</t>
  </si>
  <si>
    <t>NM_004992.4:c.467A&gt;G</t>
  </si>
  <si>
    <t>NP_004983.1:p.Asp156Gly</t>
  </si>
  <si>
    <t>RCV000133121.10</t>
  </si>
  <si>
    <t>https://www.ncbi.nlm.nih.gov/clinvar/variation/143583/</t>
  </si>
  <si>
    <t>D156Y</t>
  </si>
  <si>
    <t>804127</t>
  </si>
  <si>
    <t>NM_004992.4:c.466G&gt;T</t>
  </si>
  <si>
    <t>NP_004983.1:p.Asp156Tyr</t>
  </si>
  <si>
    <t>RCV000991002.1</t>
  </si>
  <si>
    <t>2019-05-28</t>
  </si>
  <si>
    <t>https://www.ncbi.nlm.nih.gov/clinvar/variation/804127/</t>
  </si>
  <si>
    <t>F157I</t>
  </si>
  <si>
    <t>157</t>
  </si>
  <si>
    <t>F157</t>
  </si>
  <si>
    <t>143585</t>
  </si>
  <si>
    <t>NM_004992.4:c.469T&gt;A</t>
  </si>
  <si>
    <t>NP_004983.1:p.Phe157Ile</t>
  </si>
  <si>
    <t>RCV000170239.7</t>
  </si>
  <si>
    <t>https://www.ncbi.nlm.nih.gov/clinvar/variation/143585/</t>
  </si>
  <si>
    <t>F157L</t>
  </si>
  <si>
    <t>Pathogenic; Pathogenic/Likely pathogenic</t>
  </si>
  <si>
    <t>143589; 1027605</t>
  </si>
  <si>
    <t>NM_004992.4:c.471C&gt;G; NM_004992.4:c.471C&gt;A</t>
  </si>
  <si>
    <t>NP_004983.1:p.Phe157Leu</t>
  </si>
  <si>
    <t>RCV000133127.7; RCV001328391.2</t>
  </si>
  <si>
    <t>reviewed by expert panel; criteria provided, multiple submitters, no conflicts</t>
  </si>
  <si>
    <t>2022-10-11; 2022-09-02</t>
  </si>
  <si>
    <t>3; 2</t>
  </si>
  <si>
    <t>https://www.ncbi.nlm.nih.gov/clinvar/variation/143589/ | https://www.ncbi.nlm.nih.gov/clinvar/variation/1027605/</t>
  </si>
  <si>
    <t>T158A</t>
  </si>
  <si>
    <t>158</t>
  </si>
  <si>
    <t>T158</t>
  </si>
  <si>
    <t>143590</t>
  </si>
  <si>
    <t>NM_004992.4:c.472A&gt;G</t>
  </si>
  <si>
    <t>NP_004983.1:p.Thr158Ala</t>
  </si>
  <si>
    <t>RCV000133128.8</t>
  </si>
  <si>
    <t>https://www.ncbi.nlm.nih.gov/clinvar/variation/143590/</t>
  </si>
  <si>
    <t>T158M</t>
  </si>
  <si>
    <t>11811</t>
  </si>
  <si>
    <t>NM_004992.4:c.473C&gt;T</t>
  </si>
  <si>
    <t>NP_004983.1:p.Thr158Met</t>
  </si>
  <si>
    <t>RCV000012580.73</t>
  </si>
  <si>
    <t>2025-10-23</t>
  </si>
  <si>
    <t>29</t>
  </si>
  <si>
    <t>https://www.ncbi.nlm.nih.gov/clinvar/variation/11811/</t>
  </si>
  <si>
    <t>T158R</t>
  </si>
  <si>
    <t>2135175</t>
  </si>
  <si>
    <t>NM_004992.4:c.473C&gt;G</t>
  </si>
  <si>
    <t>NP_004983.1:p.Thr158Arg</t>
  </si>
  <si>
    <t>RCV005930310.1</t>
  </si>
  <si>
    <t>2025-07-30</t>
  </si>
  <si>
    <t>https://www.ncbi.nlm.nih.gov/clinvar/variation/2135175/</t>
  </si>
  <si>
    <t>T160S</t>
  </si>
  <si>
    <t>160</t>
  </si>
  <si>
    <t>ClinVar conflicting</t>
  </si>
  <si>
    <t>T160</t>
  </si>
  <si>
    <t>143593</t>
  </si>
  <si>
    <t>NM_004992.4:c.479C&gt;G</t>
  </si>
  <si>
    <t>NP_004983.1:p.Thr160Ser</t>
  </si>
  <si>
    <t>ClinVar exact RTT RCV aggregate classification is conflicting.</t>
  </si>
  <si>
    <t>RCV001332544.4</t>
  </si>
  <si>
    <t>criteria provided, conflicting classifications</t>
  </si>
  <si>
    <t>https://www.ncbi.nlm.nih.gov/clinvar/variation/143593/</t>
  </si>
  <si>
    <t>G161E</t>
  </si>
  <si>
    <t>161</t>
  </si>
  <si>
    <t>G161</t>
  </si>
  <si>
    <t>143597</t>
  </si>
  <si>
    <t>NM_004992.4:c.482G&gt;A</t>
  </si>
  <si>
    <t>NP_004983.1:p.Gly161Glu</t>
  </si>
  <si>
    <t>RCV000133136.4</t>
  </si>
  <si>
    <t>https://www.ncbi.nlm.nih.gov/clinvar/variation/143597/</t>
  </si>
  <si>
    <t>G161V</t>
  </si>
  <si>
    <t>143598</t>
  </si>
  <si>
    <t>NM_004992.4:c.482G&gt;T</t>
  </si>
  <si>
    <t>NP_004983.1:p.Gly161Val</t>
  </si>
  <si>
    <t>RCV000133137.5</t>
  </si>
  <si>
    <t>https://www.ncbi.nlm.nih.gov/clinvar/variation/143598/</t>
  </si>
  <si>
    <t>G161W</t>
  </si>
  <si>
    <t>143596</t>
  </si>
  <si>
    <t>NM_004992.4:c.481G&gt;T</t>
  </si>
  <si>
    <t>NP_004983.1:p.Gly161Trp</t>
  </si>
  <si>
    <t>RCV000133135.3</t>
  </si>
  <si>
    <t>2023-10-10</t>
  </si>
  <si>
    <t>https://www.ncbi.nlm.nih.gov/clinvar/variation/143596/</t>
  </si>
  <si>
    <t>R162G</t>
  </si>
  <si>
    <t>162</t>
  </si>
  <si>
    <t>R162</t>
  </si>
  <si>
    <t>180209</t>
  </si>
  <si>
    <t>NM_004992.4:c.484A&gt;G</t>
  </si>
  <si>
    <t>NP_004983.1:p.Arg162Gly</t>
  </si>
  <si>
    <t>RCV000157062.3</t>
  </si>
  <si>
    <t>2014-12-10</t>
  </si>
  <si>
    <t>https://www.ncbi.nlm.nih.gov/clinvar/variation/180209/</t>
  </si>
  <si>
    <t>MeCP2 MBD structural-classification summary</t>
  </si>
  <si>
    <t>Metric</t>
  </si>
  <si>
    <t>Value</t>
  </si>
  <si>
    <t>All MBD protein substitutions</t>
  </si>
  <si>
    <t>Structural coverage</t>
  </si>
  <si>
    <t>Structural category</t>
  </si>
  <si>
    <t>Variant count</t>
  </si>
  <si>
    <t>% of resolved variants</t>
  </si>
  <si>
    <t>% of all MBD variants</t>
  </si>
  <si>
    <t>Total resolved</t>
  </si>
  <si>
    <t>Protein-level clinical group</t>
  </si>
  <si>
    <t>Structurally unresolved</t>
  </si>
  <si>
    <t>Total</t>
  </si>
  <si>
    <t>% of group resolved</t>
  </si>
  <si>
    <t>Notes</t>
  </si>
  <si>
    <t>All MBD substitutions are retained regardless of clinical classification.</t>
  </si>
  <si>
    <t>Mixed classification</t>
  </si>
  <si>
    <t>Unresolved mutation</t>
  </si>
  <si>
    <t>Position</t>
  </si>
  <si>
    <t>Protein-level group</t>
  </si>
  <si>
    <t>Preferred classification</t>
  </si>
  <si>
    <t>MBD mutations grouped by 3C2I structural category</t>
  </si>
  <si>
    <t>Category</t>
  </si>
  <si>
    <t>Count</t>
  </si>
  <si>
    <t>Structural classification rules</t>
  </si>
  <si>
    <t>Item</t>
  </si>
  <si>
    <t>Definition / rule</t>
  </si>
  <si>
    <t>Biological MBD range</t>
  </si>
  <si>
    <t>MeCP2-e2 residues 78–162</t>
  </si>
  <si>
    <t>3C2I structurally resolved range used here</t>
  </si>
  <si>
    <t>Residues 91–162</t>
  </si>
  <si>
    <t>DNA buried ratio</t>
  </si>
  <si>
    <t>(SASA_protein - SASA_complex) / SASA_protein</t>
  </si>
  <si>
    <t>DNA_buried_ratio &gt; 0.01</t>
  </si>
  <si>
    <t>Exposure ratio</t>
  </si>
  <si>
    <t>SASA_protein / SASA_isolated</t>
  </si>
  <si>
    <t>Non-interface residue with Exposure_ratio &lt; 0.20</t>
  </si>
  <si>
    <t>Non-interface residue with Exposure_ratio &gt;= 0.20</t>
  </si>
  <si>
    <t>Classification priority</t>
  </si>
  <si>
    <t>Protein-DNA interface &gt; Protein interior &gt; Protein surface</t>
  </si>
  <si>
    <t>Residues in the biological MBD that lack resolved atomic coordinates in 3C2I are retained in the MBD mutation dataset but are marked as structurally unresolved and excluded from the interior/surface/DNA-interface comparison.</t>
  </si>
  <si>
    <t>3C2I residue-level SASA reference used for mutation mapping</t>
  </si>
  <si>
    <t>Chain</t>
  </si>
  <si>
    <t>PDB_residue_number</t>
  </si>
  <si>
    <t>Residue_name</t>
  </si>
  <si>
    <t>Residue_label</t>
  </si>
  <si>
    <t>A</t>
  </si>
  <si>
    <t>ARG</t>
  </si>
  <si>
    <t>GLY</t>
  </si>
  <si>
    <t>G92</t>
  </si>
  <si>
    <t>PRO</t>
  </si>
  <si>
    <t>MET</t>
  </si>
  <si>
    <t>M94</t>
  </si>
  <si>
    <t>TYR</t>
  </si>
  <si>
    <t>Y95</t>
  </si>
  <si>
    <t>ASP</t>
  </si>
  <si>
    <t>D96</t>
  </si>
  <si>
    <t>P98</t>
  </si>
  <si>
    <t>THR</t>
  </si>
  <si>
    <t>LEU</t>
  </si>
  <si>
    <t>GLU</t>
  </si>
  <si>
    <t>E102</t>
  </si>
  <si>
    <t>TRP</t>
  </si>
  <si>
    <t>T105</t>
  </si>
  <si>
    <t>LYS</t>
  </si>
  <si>
    <t>K107</t>
  </si>
  <si>
    <t>K109</t>
  </si>
  <si>
    <t>GLN</t>
  </si>
  <si>
    <t>Q110</t>
  </si>
  <si>
    <t>K112</t>
  </si>
  <si>
    <t>SER</t>
  </si>
  <si>
    <t>S113</t>
  </si>
  <si>
    <t>S116</t>
  </si>
  <si>
    <t>ALA</t>
  </si>
  <si>
    <t>K119</t>
  </si>
  <si>
    <t>VAL</t>
  </si>
  <si>
    <t>Y123</t>
  </si>
  <si>
    <t>ILE</t>
  </si>
  <si>
    <t>I125</t>
  </si>
  <si>
    <t>ASN</t>
  </si>
  <si>
    <t>PHE</t>
  </si>
  <si>
    <t>F132</t>
  </si>
  <si>
    <t>V136</t>
  </si>
  <si>
    <t>E137</t>
  </si>
  <si>
    <t>I139</t>
  </si>
  <si>
    <t>F142</t>
  </si>
  <si>
    <t>V145</t>
  </si>
  <si>
    <t>G146</t>
  </si>
  <si>
    <t>L150</t>
  </si>
  <si>
    <t>N153</t>
  </si>
  <si>
    <t>D154</t>
  </si>
  <si>
    <t>V159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</si>
</sst>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</numFmts>
  <fonts count="28">
    <font>
      <sz val="11"/>
      <name val="Carlito"/>
      <charset val="134"/>
    </font>
    <font>
      <sz val="11"/>
      <name val="Times New Roman"/>
      <charset val="134"/>
    </font>
    <font>
      <b/>
      <sz val="14"/>
      <color rgb="FFFFFFFF"/>
      <name val="Times New Roman"/>
      <charset val="134"/>
    </font>
    <font>
      <b/>
      <sz val="11"/>
      <color rgb="FFFFFFFF"/>
      <name val="Times New Roman"/>
      <charset val="134"/>
    </font>
    <font>
      <i/>
      <sz val="11"/>
      <name val="Times New Roman"/>
      <charset val="134"/>
    </font>
    <font>
      <b/>
      <sz val="14"/>
      <color rgb="FFFFFFFF"/>
      <name val="Carlito"/>
      <charset val="134"/>
    </font>
    <font>
      <i/>
      <sz val="11"/>
      <color rgb="FF1F1F1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4C7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Font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/>
    </xf>
    <xf numFmtId="0" fontId="3" fillId="3" borderId="0" xfId="49" applyNumberFormat="1" applyFont="1" applyFill="1" applyBorder="1" applyAlignment="1">
      <alignment horizontal="center" vertical="center" wrapText="1"/>
    </xf>
    <xf numFmtId="0" fontId="1" fillId="0" borderId="0" xfId="49" applyFont="1" applyAlignment="1">
      <alignment horizontal="center" vertical="center"/>
    </xf>
    <xf numFmtId="176" fontId="1" fillId="0" borderId="0" xfId="49" applyNumberFormat="1" applyFont="1" applyFill="1" applyBorder="1" applyAlignment="1">
      <alignment horizontal="center" vertical="center"/>
    </xf>
    <xf numFmtId="177" fontId="1" fillId="0" borderId="0" xfId="49" applyNumberFormat="1" applyFont="1" applyFill="1" applyBorder="1" applyAlignment="1">
      <alignment horizontal="center" vertical="center"/>
    </xf>
    <xf numFmtId="0" fontId="1" fillId="0" borderId="0" xfId="49" applyNumberFormat="1" applyFont="1" applyFill="1" applyBorder="1" applyAlignment="1">
      <alignment horizontal="center" vertical="center" wrapText="1"/>
    </xf>
    <xf numFmtId="0" fontId="4" fillId="4" borderId="0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Border="1" applyAlignment="1">
      <alignment horizontal="center" vertical="center"/>
    </xf>
    <xf numFmtId="0" fontId="3" fillId="3" borderId="0" xfId="49" applyNumberFormat="1" applyFont="1" applyFill="1" applyBorder="1" applyAlignment="1">
      <alignment horizontal="center" vertical="center"/>
    </xf>
    <xf numFmtId="10" fontId="1" fillId="0" borderId="0" xfId="49" applyNumberFormat="1" applyFont="1" applyFill="1" applyBorder="1" applyAlignment="1">
      <alignment horizontal="center" vertical="center" wrapText="1"/>
    </xf>
    <xf numFmtId="0" fontId="3" fillId="5" borderId="0" xfId="49" applyNumberFormat="1" applyFont="1" applyFill="1" applyBorder="1" applyAlignment="1">
      <alignment horizontal="center" vertical="center" wrapText="1"/>
    </xf>
    <xf numFmtId="0" fontId="5" fillId="2" borderId="0" xfId="49" applyNumberFormat="1" applyFont="1" applyFill="1" applyBorder="1" applyAlignment="1">
      <alignment horizontal="center" vertical="center"/>
    </xf>
    <xf numFmtId="0" fontId="6" fillId="6" borderId="0" xfId="49" applyNumberFormat="1" applyFont="1" applyFill="1" applyBorder="1" applyAlignment="1">
      <alignment wrapText="1"/>
    </xf>
    <xf numFmtId="0" fontId="7" fillId="3" borderId="1" xfId="49" applyNumberFormat="1" applyFont="1" applyFill="1" applyBorder="1" applyAlignment="1">
      <alignment horizontal="center" vertical="center" wrapText="1"/>
    </xf>
    <xf numFmtId="1" fontId="1" fillId="0" borderId="0" xfId="49" applyNumberFormat="1" applyFont="1" applyFill="1" applyBorder="1" applyAlignment="1">
      <alignment horizontal="center" vertical="center" wrapText="1"/>
    </xf>
    <xf numFmtId="176" fontId="1" fillId="0" borderId="0" xfId="49" applyNumberFormat="1" applyFont="1" applyFill="1" applyBorder="1" applyAlignment="1">
      <alignment horizontal="center" vertical="center" wrapText="1"/>
    </xf>
    <xf numFmtId="177" fontId="1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55"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name val="Times New Roman"/>
        <scheme val="none"/>
      </font>
      <alignment horizontal="center" vertical="center"/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4B3869"/>
      </font>
      <fill>
        <patternFill patternType="solid">
          <bgColor rgb="FFE4DFEC"/>
        </patternFill>
      </fill>
    </dxf>
    <dxf>
      <font>
        <b val="1"/>
        <color rgb="FF8A4B08"/>
      </font>
      <fill>
        <patternFill patternType="solid">
          <bgColor rgb="FFFCE4D6"/>
        </patternFill>
      </fill>
    </dxf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666666"/>
      </font>
      <fill>
        <patternFill patternType="solid">
          <bgColor rgb="FFE7E6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dxfId="39"/>
      <tableStyleElement type="firstColumnStripe" dxfId="38"/>
    </tableStyle>
    <tableStyle name="PivotStylePreset2_Accent1" table="0" count="10" xr9:uid="{267968C8-6FFD-4C36-ACC1-9EA1FD1885CA}">
      <tableStyleElement type="headerRow" dxfId="54"/>
      <tableStyleElement type="totalRow" dxfId="53"/>
      <tableStyleElement type="firstRowStripe" dxfId="52"/>
      <tableStyleElement type="firstColumnStripe" dxfId="51"/>
      <tableStyleElement type="firstSubtotalRow" dxfId="50"/>
      <tableStyleElement type="secondSubtotalRow" dxfId="49"/>
      <tableStyleElement type="firstRowSubheading" dxfId="48"/>
      <tableStyleElement type="secondRowSubheading" dxfId="47"/>
      <tableStyleElement type="pageFieldLabels" dxfId="46"/>
      <tableStyleElement type="pageFieldValues" dxfId="4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Resolved MBD variants by structural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"Variant count"</c:f>
              <c:strCache>
                <c:ptCount val="1"/>
                <c:pt idx="0">
                  <c:v>Variant count</c:v>
                </c:pt>
              </c:strCache>
            </c:strRef>
          </c:tx>
          <c:invertIfNegative val="0"/>
          <c:dLbls>
            <c:delete val="1"/>
          </c:dLbls>
          <c:cat>
            <c:strRef>
              <c:f>Structure_summary!$A$10:$A$12</c:f>
              <c:strCache>
                <c:ptCount val="3"/>
                <c:pt idx="0">
                  <c:v>Protein interior</c:v>
                </c:pt>
                <c:pt idx="1">
                  <c:v>Protein surface</c:v>
                </c:pt>
                <c:pt idx="2">
                  <c:v>Protein-DNA interface</c:v>
                </c:pt>
              </c:strCache>
            </c:strRef>
          </c:cat>
          <c:val>
            <c:numRef>
              <c:f>Structure_summary!$B$10:$B$12</c:f>
              <c:numCache>
                <c:formatCode>General</c:formatCode>
                <c:ptCount val="3"/>
                <c:pt idx="0">
                  <c:v>40</c:v>
                </c:pt>
                <c:pt idx="1">
                  <c:v>17</c:v>
                </c:pt>
                <c:pt idx="2">
                  <c:v>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c748e7c-82c9-408d-9f67-b55ffea5c7c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2</xdr:row>
      <xdr:rowOff>0</xdr:rowOff>
    </xdr:from>
    <xdr:to>
      <xdr:col>16</xdr:col>
      <xdr:colOff>0</xdr:colOff>
      <xdr:row>16</xdr:row>
      <xdr:rowOff>0</xdr:rowOff>
    </xdr:to>
    <xdr:graphicFrame>
      <xdr:nvGraphicFramePr>
        <xdr:cNvPr id="2" name="Chart"/>
        <xdr:cNvGraphicFramePr/>
      </xdr:nvGraphicFramePr>
      <xdr:xfrm>
        <a:off x="17621250" y="511175"/>
        <a:ext cx="6000750" cy="2533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MBDStructureTable" displayName="MBDStructureTable" ref="A4:AG92" totalsRowShown="0">
  <tableColumns count="33">
    <tableColumn id="1" name="Unique_protein_change" dataDxfId="0"/>
    <tableColumn id="2" name="Protein_position" dataDxfId="1"/>
    <tableColumn id="3" name="Protein_level_group" dataDxfId="2"/>
    <tableColumn id="4" name="Preferred_classification" dataDxfId="3"/>
    <tableColumn id="5" name="Structure_status" dataDxfId="4"/>
    <tableColumn id="6" name="Structural_category" dataDxfId="5"/>
    <tableColumn id="7" name="Structure_residue_label" dataDxfId="6"/>
    <tableColumn id="8" name="SASA_isolated_A2" dataDxfId="7"/>
    <tableColumn id="9" name="SASA_protein_A2" dataDxfId="8"/>
    <tableColumn id="10" name="SASA_complex_A2" dataDxfId="9"/>
    <tableColumn id="11" name="Exposure_ratio" dataDxfId="10"/>
    <tableColumn id="12" name="Delta_SASA_DNA_A2" dataDxfId="11"/>
    <tableColumn id="13" name="DNA_buried_ratio" dataDxfId="12"/>
    <tableColumn id="14" name="SNV_count" dataDxfId="13"/>
    <tableColumn id="15" name="Variation_IDs" dataDxfId="14"/>
    <tableColumn id="16" name="NM_004992.4_c_HGVS" dataDxfId="15"/>
    <tableColumn id="17" name="NP_004983.1_p_HGVS" dataDxfId="16"/>
    <tableColumn id="18" name="RTT_evidence_level" dataDxfId="17"/>
    <tableColumn id="19" name="Classification_source" dataDxfId="18"/>
    <tableColumn id="20" name="Classification_scope" dataDxfId="19"/>
    <tableColumn id="21" name="Original_RTT_RCV_classifications" dataDxfId="20"/>
    <tableColumn id="22" name="VCV_global_classifications" dataDxfId="21"/>
    <tableColumn id="23" name="Protein_level_detailed_classification" dataDxfId="22"/>
    <tableColumn id="24" name="Use_VCV_global_fallback" dataDxfId="23"/>
    <tableColumn id="25" name="Include_in_strict_RTT_PLP" dataDxfId="24"/>
    <tableColumn id="26" name="Include_in_hierarchical_PLP" dataDxfId="25"/>
    <tableColumn id="27" name="Classification_basis" dataDxfId="26"/>
    <tableColumn id="28" name="RCV_accessions" dataDxfId="27"/>
    <tableColumn id="29" name="RCV_conditions" dataDxfId="28"/>
    <tableColumn id="30" name="RCV_review_status" dataDxfId="29"/>
    <tableColumn id="31" name="RCV_date_last_evaluated" dataDxfId="30"/>
    <tableColumn id="32" name="RCV_submission_count" dataDxfId="31"/>
    <tableColumn id="33" name="ClinVar_URLs" dataDxfId="3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ASAReferenceTable" displayName="SASAReferenceTable" ref="A3:K75" totalsRowShown="0">
  <tableColumns count="11">
    <tableColumn id="1" name="Chain"/>
    <tableColumn id="2" name="PDB_residue_number"/>
    <tableColumn id="3" name="Residue_name"/>
    <tableColumn id="4" name="Residue_label"/>
    <tableColumn id="5" name="SASA_isolated_A2"/>
    <tableColumn id="6" name="SASA_protein_A2"/>
    <tableColumn id="7" name="SASA_complex_A2"/>
    <tableColumn id="8" name="Exposure_ratio"/>
    <tableColumn id="9" name="Delta_SASA_DNA_A2"/>
    <tableColumn id="10" name="DNA_buried_ratio"/>
    <tableColumn id="11" name="Structural_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2"/>
  <sheetViews>
    <sheetView workbookViewId="0">
      <selection activeCell="E23" sqref="E23:E24"/>
    </sheetView>
  </sheetViews>
  <sheetFormatPr defaultColWidth="9" defaultRowHeight="15"/>
  <cols>
    <col min="1" max="1" width="18" customWidth="1"/>
    <col min="2" max="2" width="12" customWidth="1"/>
    <col min="3" max="3" width="16" customWidth="1"/>
    <col min="4" max="4" width="20" customWidth="1"/>
    <col min="5" max="5" width="25" customWidth="1"/>
    <col min="6" max="6" width="24" customWidth="1"/>
    <col min="7" max="10" width="16" customWidth="1"/>
    <col min="11" max="11" width="14" customWidth="1"/>
    <col min="12" max="12" width="18" customWidth="1"/>
    <col min="13" max="13" width="16" customWidth="1"/>
    <col min="14" max="14" width="10" customWidth="1"/>
    <col min="15" max="15" width="16" customWidth="1"/>
    <col min="16" max="17" width="26" customWidth="1"/>
    <col min="18" max="19" width="22" customWidth="1"/>
    <col min="20" max="20" width="18" customWidth="1"/>
    <col min="21" max="21" width="30" customWidth="1"/>
    <col min="22" max="22" width="28" customWidth="1"/>
    <col min="23" max="25" width="18" customWidth="1"/>
    <col min="26" max="26" width="30" customWidth="1"/>
    <col min="27" max="27" width="18" customWidth="1"/>
    <col min="28" max="30" width="22" customWidth="1"/>
    <col min="31" max="32" width="18" customWidth="1"/>
    <col min="33" max="33" width="38" customWidth="1"/>
  </cols>
  <sheetData>
    <row r="1" ht="26" customHeight="1" spans="1:3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ht="32" customHeight="1" spans="1:3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4" ht="34" customHeight="1" spans="1:33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  <c r="T4" s="15" t="s">
        <v>21</v>
      </c>
      <c r="U4" s="15" t="s">
        <v>22</v>
      </c>
      <c r="V4" s="15" t="s">
        <v>23</v>
      </c>
      <c r="W4" s="15" t="s">
        <v>24</v>
      </c>
      <c r="X4" s="15" t="s">
        <v>25</v>
      </c>
      <c r="Y4" s="15" t="s">
        <v>26</v>
      </c>
      <c r="Z4" s="15" t="s">
        <v>27</v>
      </c>
      <c r="AA4" s="15" t="s">
        <v>28</v>
      </c>
      <c r="AB4" s="15" t="s">
        <v>29</v>
      </c>
      <c r="AC4" s="15" t="s">
        <v>30</v>
      </c>
      <c r="AD4" s="15" t="s">
        <v>31</v>
      </c>
      <c r="AE4" s="15" t="s">
        <v>32</v>
      </c>
      <c r="AF4" s="15" t="s">
        <v>33</v>
      </c>
      <c r="AG4" s="15" t="s">
        <v>34</v>
      </c>
    </row>
    <row r="5" ht="42.75" spans="1:33">
      <c r="A5" s="7" t="s">
        <v>35</v>
      </c>
      <c r="B5" s="16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/>
      <c r="H5" s="17"/>
      <c r="I5" s="17"/>
      <c r="J5" s="17"/>
      <c r="K5" s="18"/>
      <c r="L5" s="17"/>
      <c r="M5" s="18"/>
      <c r="N5" s="7" t="s">
        <v>41</v>
      </c>
      <c r="O5" s="7" t="s">
        <v>42</v>
      </c>
      <c r="P5" s="7" t="s">
        <v>43</v>
      </c>
      <c r="Q5" s="7" t="s">
        <v>44</v>
      </c>
      <c r="R5" s="7" t="s">
        <v>45</v>
      </c>
      <c r="S5" s="7" t="s">
        <v>45</v>
      </c>
      <c r="T5" s="7" t="s">
        <v>46</v>
      </c>
      <c r="U5" s="7" t="s">
        <v>38</v>
      </c>
      <c r="V5" s="7" t="s">
        <v>47</v>
      </c>
      <c r="W5" s="7" t="s">
        <v>38</v>
      </c>
      <c r="X5" s="7" t="s">
        <v>48</v>
      </c>
      <c r="Y5" s="7" t="s">
        <v>48</v>
      </c>
      <c r="Z5" s="7" t="s">
        <v>48</v>
      </c>
      <c r="AA5" s="7" t="s">
        <v>49</v>
      </c>
      <c r="AB5" s="7" t="s">
        <v>50</v>
      </c>
      <c r="AC5" s="7" t="s">
        <v>51</v>
      </c>
      <c r="AD5" s="7" t="s">
        <v>52</v>
      </c>
      <c r="AE5" s="7" t="s">
        <v>53</v>
      </c>
      <c r="AF5" s="7" t="s">
        <v>41</v>
      </c>
      <c r="AG5" s="7" t="s">
        <v>54</v>
      </c>
    </row>
    <row r="6" ht="42.75" spans="1:33">
      <c r="A6" s="7" t="s">
        <v>55</v>
      </c>
      <c r="B6" s="16" t="s">
        <v>56</v>
      </c>
      <c r="C6" s="7" t="s">
        <v>57</v>
      </c>
      <c r="D6" s="7" t="s">
        <v>58</v>
      </c>
      <c r="E6" s="7" t="s">
        <v>39</v>
      </c>
      <c r="F6" s="7" t="s">
        <v>40</v>
      </c>
      <c r="G6" s="7"/>
      <c r="H6" s="17"/>
      <c r="I6" s="17"/>
      <c r="J6" s="17"/>
      <c r="K6" s="18"/>
      <c r="L6" s="17"/>
      <c r="M6" s="18"/>
      <c r="N6" s="7" t="s">
        <v>41</v>
      </c>
      <c r="O6" s="7" t="s">
        <v>59</v>
      </c>
      <c r="P6" s="7" t="s">
        <v>60</v>
      </c>
      <c r="Q6" s="7" t="s">
        <v>61</v>
      </c>
      <c r="R6" s="7" t="s">
        <v>45</v>
      </c>
      <c r="S6" s="7" t="s">
        <v>45</v>
      </c>
      <c r="T6" s="7" t="s">
        <v>46</v>
      </c>
      <c r="U6" s="7" t="s">
        <v>58</v>
      </c>
      <c r="V6" s="7" t="s">
        <v>58</v>
      </c>
      <c r="W6" s="7" t="s">
        <v>58</v>
      </c>
      <c r="X6" s="7" t="s">
        <v>48</v>
      </c>
      <c r="Y6" s="7" t="s">
        <v>48</v>
      </c>
      <c r="Z6" s="7" t="s">
        <v>48</v>
      </c>
      <c r="AA6" s="7" t="s">
        <v>62</v>
      </c>
      <c r="AB6" s="7" t="s">
        <v>63</v>
      </c>
      <c r="AC6" s="7" t="s">
        <v>51</v>
      </c>
      <c r="AD6" s="7" t="s">
        <v>64</v>
      </c>
      <c r="AE6" s="7" t="s">
        <v>65</v>
      </c>
      <c r="AF6" s="7" t="s">
        <v>66</v>
      </c>
      <c r="AG6" s="7" t="s">
        <v>67</v>
      </c>
    </row>
    <row r="7" ht="42.75" spans="1:33">
      <c r="A7" s="7" t="s">
        <v>68</v>
      </c>
      <c r="B7" s="16" t="s">
        <v>69</v>
      </c>
      <c r="C7" s="7" t="s">
        <v>57</v>
      </c>
      <c r="D7" s="7" t="s">
        <v>58</v>
      </c>
      <c r="E7" s="7" t="s">
        <v>39</v>
      </c>
      <c r="F7" s="7" t="s">
        <v>40</v>
      </c>
      <c r="G7" s="7"/>
      <c r="H7" s="17"/>
      <c r="I7" s="17"/>
      <c r="J7" s="17"/>
      <c r="K7" s="18"/>
      <c r="L7" s="17"/>
      <c r="M7" s="18"/>
      <c r="N7" s="7" t="s">
        <v>41</v>
      </c>
      <c r="O7" s="7" t="s">
        <v>70</v>
      </c>
      <c r="P7" s="7" t="s">
        <v>71</v>
      </c>
      <c r="Q7" s="7" t="s">
        <v>72</v>
      </c>
      <c r="R7" s="7" t="s">
        <v>45</v>
      </c>
      <c r="S7" s="7" t="s">
        <v>45</v>
      </c>
      <c r="T7" s="7" t="s">
        <v>46</v>
      </c>
      <c r="U7" s="7" t="s">
        <v>58</v>
      </c>
      <c r="V7" s="7" t="s">
        <v>58</v>
      </c>
      <c r="W7" s="7" t="s">
        <v>58</v>
      </c>
      <c r="X7" s="7" t="s">
        <v>48</v>
      </c>
      <c r="Y7" s="7" t="s">
        <v>48</v>
      </c>
      <c r="Z7" s="7" t="s">
        <v>48</v>
      </c>
      <c r="AA7" s="7" t="s">
        <v>62</v>
      </c>
      <c r="AB7" s="7" t="s">
        <v>73</v>
      </c>
      <c r="AC7" s="7" t="s">
        <v>51</v>
      </c>
      <c r="AD7" s="7" t="s">
        <v>52</v>
      </c>
      <c r="AE7" s="7" t="s">
        <v>74</v>
      </c>
      <c r="AF7" s="7" t="s">
        <v>75</v>
      </c>
      <c r="AG7" s="7" t="s">
        <v>76</v>
      </c>
    </row>
    <row r="8" ht="28.5" spans="1:33">
      <c r="A8" s="7" t="s">
        <v>77</v>
      </c>
      <c r="B8" s="16" t="s">
        <v>78</v>
      </c>
      <c r="C8" s="7" t="s">
        <v>37</v>
      </c>
      <c r="D8" s="7" t="s">
        <v>79</v>
      </c>
      <c r="E8" s="7" t="s">
        <v>39</v>
      </c>
      <c r="F8" s="7" t="s">
        <v>40</v>
      </c>
      <c r="G8" s="7"/>
      <c r="H8" s="17"/>
      <c r="I8" s="17"/>
      <c r="J8" s="17"/>
      <c r="K8" s="18"/>
      <c r="L8" s="17"/>
      <c r="M8" s="18"/>
      <c r="N8" s="7" t="s">
        <v>41</v>
      </c>
      <c r="O8" s="7" t="s">
        <v>80</v>
      </c>
      <c r="P8" s="7" t="s">
        <v>81</v>
      </c>
      <c r="Q8" s="7" t="s">
        <v>82</v>
      </c>
      <c r="R8" s="7" t="s">
        <v>45</v>
      </c>
      <c r="S8" s="7" t="s">
        <v>45</v>
      </c>
      <c r="T8" s="7" t="s">
        <v>46</v>
      </c>
      <c r="U8" s="7" t="s">
        <v>79</v>
      </c>
      <c r="V8" s="7" t="s">
        <v>79</v>
      </c>
      <c r="W8" s="7" t="s">
        <v>79</v>
      </c>
      <c r="X8" s="7" t="s">
        <v>48</v>
      </c>
      <c r="Y8" s="7" t="s">
        <v>48</v>
      </c>
      <c r="Z8" s="7" t="s">
        <v>48</v>
      </c>
      <c r="AA8" s="7" t="s">
        <v>83</v>
      </c>
      <c r="AB8" s="7" t="s">
        <v>84</v>
      </c>
      <c r="AC8" s="7" t="s">
        <v>51</v>
      </c>
      <c r="AD8" s="7" t="s">
        <v>64</v>
      </c>
      <c r="AE8" s="7" t="s">
        <v>85</v>
      </c>
      <c r="AF8" s="7" t="s">
        <v>41</v>
      </c>
      <c r="AG8" s="7" t="s">
        <v>86</v>
      </c>
    </row>
    <row r="9" ht="42.75" spans="1:33">
      <c r="A9" s="7" t="s">
        <v>87</v>
      </c>
      <c r="B9" s="16" t="s">
        <v>88</v>
      </c>
      <c r="C9" s="7" t="s">
        <v>89</v>
      </c>
      <c r="D9" s="7" t="s">
        <v>90</v>
      </c>
      <c r="E9" s="7" t="s">
        <v>91</v>
      </c>
      <c r="F9" s="7" t="s">
        <v>92</v>
      </c>
      <c r="G9" s="7" t="s">
        <v>93</v>
      </c>
      <c r="H9" s="17">
        <v>342.448761</v>
      </c>
      <c r="I9" s="17">
        <v>278.887695</v>
      </c>
      <c r="J9" s="17">
        <v>278.887695</v>
      </c>
      <c r="K9" s="18">
        <v>0.814392</v>
      </c>
      <c r="L9" s="17">
        <v>0</v>
      </c>
      <c r="M9" s="18">
        <v>0</v>
      </c>
      <c r="N9" s="7" t="s">
        <v>41</v>
      </c>
      <c r="O9" s="7" t="s">
        <v>94</v>
      </c>
      <c r="P9" s="7" t="s">
        <v>95</v>
      </c>
      <c r="Q9" s="7" t="s">
        <v>96</v>
      </c>
      <c r="R9" s="7" t="s">
        <v>45</v>
      </c>
      <c r="S9" s="7" t="s">
        <v>45</v>
      </c>
      <c r="T9" s="7" t="s">
        <v>46</v>
      </c>
      <c r="U9" s="7" t="s">
        <v>90</v>
      </c>
      <c r="V9" s="7" t="s">
        <v>58</v>
      </c>
      <c r="W9" s="7" t="s">
        <v>90</v>
      </c>
      <c r="X9" s="7" t="s">
        <v>48</v>
      </c>
      <c r="Y9" s="7" t="s">
        <v>48</v>
      </c>
      <c r="Z9" s="7" t="s">
        <v>48</v>
      </c>
      <c r="AA9" s="7" t="s">
        <v>97</v>
      </c>
      <c r="AB9" s="7" t="s">
        <v>98</v>
      </c>
      <c r="AC9" s="7" t="s">
        <v>51</v>
      </c>
      <c r="AD9" s="7" t="s">
        <v>99</v>
      </c>
      <c r="AE9" s="7" t="s">
        <v>100</v>
      </c>
      <c r="AF9" s="7" t="s">
        <v>41</v>
      </c>
      <c r="AG9" s="7" t="s">
        <v>101</v>
      </c>
    </row>
    <row r="10" ht="42.75" spans="1:33">
      <c r="A10" s="7" t="s">
        <v>102</v>
      </c>
      <c r="B10" s="16" t="s">
        <v>88</v>
      </c>
      <c r="C10" s="7" t="s">
        <v>57</v>
      </c>
      <c r="D10" s="7" t="s">
        <v>58</v>
      </c>
      <c r="E10" s="7" t="s">
        <v>91</v>
      </c>
      <c r="F10" s="7" t="s">
        <v>92</v>
      </c>
      <c r="G10" s="7" t="s">
        <v>93</v>
      </c>
      <c r="H10" s="17">
        <v>342.448761</v>
      </c>
      <c r="I10" s="17">
        <v>278.887695</v>
      </c>
      <c r="J10" s="17">
        <v>278.887695</v>
      </c>
      <c r="K10" s="18">
        <v>0.814392</v>
      </c>
      <c r="L10" s="17">
        <v>0</v>
      </c>
      <c r="M10" s="18">
        <v>0</v>
      </c>
      <c r="N10" s="7" t="s">
        <v>41</v>
      </c>
      <c r="O10" s="7" t="s">
        <v>103</v>
      </c>
      <c r="P10" s="7" t="s">
        <v>104</v>
      </c>
      <c r="Q10" s="7" t="s">
        <v>105</v>
      </c>
      <c r="R10" s="7" t="s">
        <v>45</v>
      </c>
      <c r="S10" s="7" t="s">
        <v>45</v>
      </c>
      <c r="T10" s="7" t="s">
        <v>46</v>
      </c>
      <c r="U10" s="7" t="s">
        <v>58</v>
      </c>
      <c r="V10" s="7" t="s">
        <v>58</v>
      </c>
      <c r="W10" s="7" t="s">
        <v>58</v>
      </c>
      <c r="X10" s="7" t="s">
        <v>48</v>
      </c>
      <c r="Y10" s="7" t="s">
        <v>48</v>
      </c>
      <c r="Z10" s="7" t="s">
        <v>48</v>
      </c>
      <c r="AA10" s="7" t="s">
        <v>62</v>
      </c>
      <c r="AB10" s="7" t="s">
        <v>106</v>
      </c>
      <c r="AC10" s="7" t="s">
        <v>51</v>
      </c>
      <c r="AD10" s="7" t="s">
        <v>52</v>
      </c>
      <c r="AE10" s="7" t="s">
        <v>107</v>
      </c>
      <c r="AF10" s="7" t="s">
        <v>41</v>
      </c>
      <c r="AG10" s="7" t="s">
        <v>108</v>
      </c>
    </row>
    <row r="11" ht="42.75" spans="1:33">
      <c r="A11" s="7" t="s">
        <v>109</v>
      </c>
      <c r="B11" s="16" t="s">
        <v>110</v>
      </c>
      <c r="C11" s="7" t="s">
        <v>57</v>
      </c>
      <c r="D11" s="7" t="s">
        <v>58</v>
      </c>
      <c r="E11" s="7" t="s">
        <v>91</v>
      </c>
      <c r="F11" s="7" t="s">
        <v>92</v>
      </c>
      <c r="G11" s="7" t="s">
        <v>111</v>
      </c>
      <c r="H11" s="17">
        <v>237.048889</v>
      </c>
      <c r="I11" s="17">
        <v>50.151764</v>
      </c>
      <c r="J11" s="17">
        <v>50.151764</v>
      </c>
      <c r="K11" s="18">
        <v>0.211567</v>
      </c>
      <c r="L11" s="17">
        <v>0</v>
      </c>
      <c r="M11" s="18">
        <v>0</v>
      </c>
      <c r="N11" s="7" t="s">
        <v>41</v>
      </c>
      <c r="O11" s="7" t="s">
        <v>112</v>
      </c>
      <c r="P11" s="7" t="s">
        <v>113</v>
      </c>
      <c r="Q11" s="7" t="s">
        <v>114</v>
      </c>
      <c r="R11" s="7" t="s">
        <v>45</v>
      </c>
      <c r="S11" s="7" t="s">
        <v>45</v>
      </c>
      <c r="T11" s="7" t="s">
        <v>46</v>
      </c>
      <c r="U11" s="7" t="s">
        <v>58</v>
      </c>
      <c r="V11" s="7" t="s">
        <v>115</v>
      </c>
      <c r="W11" s="7" t="s">
        <v>58</v>
      </c>
      <c r="X11" s="7" t="s">
        <v>48</v>
      </c>
      <c r="Y11" s="7" t="s">
        <v>48</v>
      </c>
      <c r="Z11" s="7" t="s">
        <v>48</v>
      </c>
      <c r="AA11" s="7" t="s">
        <v>62</v>
      </c>
      <c r="AB11" s="7" t="s">
        <v>116</v>
      </c>
      <c r="AC11" s="7" t="s">
        <v>51</v>
      </c>
      <c r="AD11" s="7" t="s">
        <v>52</v>
      </c>
      <c r="AE11" s="7" t="s">
        <v>117</v>
      </c>
      <c r="AF11" s="7" t="s">
        <v>75</v>
      </c>
      <c r="AG11" s="7" t="s">
        <v>118</v>
      </c>
    </row>
    <row r="12" ht="42.75" spans="1:33">
      <c r="A12" s="7" t="s">
        <v>119</v>
      </c>
      <c r="B12" s="16" t="s">
        <v>120</v>
      </c>
      <c r="C12" s="7" t="s">
        <v>57</v>
      </c>
      <c r="D12" s="7" t="s">
        <v>58</v>
      </c>
      <c r="E12" s="7" t="s">
        <v>91</v>
      </c>
      <c r="F12" s="7" t="s">
        <v>121</v>
      </c>
      <c r="G12" s="7" t="s">
        <v>122</v>
      </c>
      <c r="H12" s="17">
        <v>246.025558</v>
      </c>
      <c r="I12" s="17">
        <v>19.081558</v>
      </c>
      <c r="J12" s="17">
        <v>19.081558</v>
      </c>
      <c r="K12" s="18">
        <v>0.077559</v>
      </c>
      <c r="L12" s="17">
        <v>0</v>
      </c>
      <c r="M12" s="18">
        <v>0</v>
      </c>
      <c r="N12" s="7" t="s">
        <v>41</v>
      </c>
      <c r="O12" s="7" t="s">
        <v>123</v>
      </c>
      <c r="P12" s="7" t="s">
        <v>124</v>
      </c>
      <c r="Q12" s="7" t="s">
        <v>125</v>
      </c>
      <c r="R12" s="7" t="s">
        <v>45</v>
      </c>
      <c r="S12" s="7" t="s">
        <v>45</v>
      </c>
      <c r="T12" s="7" t="s">
        <v>46</v>
      </c>
      <c r="U12" s="7" t="s">
        <v>58</v>
      </c>
      <c r="V12" s="7" t="s">
        <v>58</v>
      </c>
      <c r="W12" s="7" t="s">
        <v>58</v>
      </c>
      <c r="X12" s="7" t="s">
        <v>48</v>
      </c>
      <c r="Y12" s="7" t="s">
        <v>48</v>
      </c>
      <c r="Z12" s="7" t="s">
        <v>48</v>
      </c>
      <c r="AA12" s="7" t="s">
        <v>62</v>
      </c>
      <c r="AB12" s="7" t="s">
        <v>126</v>
      </c>
      <c r="AC12" s="7" t="s">
        <v>51</v>
      </c>
      <c r="AD12" s="7" t="s">
        <v>52</v>
      </c>
      <c r="AE12" s="7" t="s">
        <v>74</v>
      </c>
      <c r="AF12" s="7" t="s">
        <v>75</v>
      </c>
      <c r="AG12" s="7" t="s">
        <v>127</v>
      </c>
    </row>
    <row r="13" ht="42.75" spans="1:33">
      <c r="A13" s="7" t="s">
        <v>128</v>
      </c>
      <c r="B13" s="16" t="s">
        <v>120</v>
      </c>
      <c r="C13" s="7" t="s">
        <v>129</v>
      </c>
      <c r="D13" s="7" t="s">
        <v>130</v>
      </c>
      <c r="E13" s="7" t="s">
        <v>91</v>
      </c>
      <c r="F13" s="7" t="s">
        <v>121</v>
      </c>
      <c r="G13" s="7" t="s">
        <v>122</v>
      </c>
      <c r="H13" s="17">
        <v>246.025558</v>
      </c>
      <c r="I13" s="17">
        <v>19.081558</v>
      </c>
      <c r="J13" s="17">
        <v>19.081558</v>
      </c>
      <c r="K13" s="18">
        <v>0.077559</v>
      </c>
      <c r="L13" s="17">
        <v>0</v>
      </c>
      <c r="M13" s="18">
        <v>0</v>
      </c>
      <c r="N13" s="7" t="s">
        <v>41</v>
      </c>
      <c r="O13" s="7" t="s">
        <v>131</v>
      </c>
      <c r="P13" s="7" t="s">
        <v>132</v>
      </c>
      <c r="Q13" s="7" t="s">
        <v>133</v>
      </c>
      <c r="R13" s="7" t="s">
        <v>45</v>
      </c>
      <c r="S13" s="7" t="s">
        <v>45</v>
      </c>
      <c r="T13" s="7" t="s">
        <v>46</v>
      </c>
      <c r="U13" s="7" t="s">
        <v>130</v>
      </c>
      <c r="V13" s="7" t="s">
        <v>130</v>
      </c>
      <c r="W13" s="7" t="s">
        <v>130</v>
      </c>
      <c r="X13" s="7" t="s">
        <v>48</v>
      </c>
      <c r="Y13" s="7" t="s">
        <v>134</v>
      </c>
      <c r="Z13" s="7" t="s">
        <v>134</v>
      </c>
      <c r="AA13" s="7" t="s">
        <v>135</v>
      </c>
      <c r="AB13" s="7" t="s">
        <v>136</v>
      </c>
      <c r="AC13" s="7" t="s">
        <v>51</v>
      </c>
      <c r="AD13" s="7" t="s">
        <v>52</v>
      </c>
      <c r="AE13" s="7" t="s">
        <v>137</v>
      </c>
      <c r="AF13" s="7" t="s">
        <v>75</v>
      </c>
      <c r="AG13" s="7" t="s">
        <v>138</v>
      </c>
    </row>
    <row r="14" ht="42.75" spans="1:33">
      <c r="A14" s="7" t="s">
        <v>139</v>
      </c>
      <c r="B14" s="16" t="s">
        <v>140</v>
      </c>
      <c r="C14" s="7" t="s">
        <v>57</v>
      </c>
      <c r="D14" s="7" t="s">
        <v>58</v>
      </c>
      <c r="E14" s="7" t="s">
        <v>91</v>
      </c>
      <c r="F14" s="7" t="s">
        <v>92</v>
      </c>
      <c r="G14" s="7" t="s">
        <v>141</v>
      </c>
      <c r="H14" s="17">
        <v>247.11879</v>
      </c>
      <c r="I14" s="17">
        <v>116.364235</v>
      </c>
      <c r="J14" s="17">
        <v>116.364235</v>
      </c>
      <c r="K14" s="18">
        <v>0.470884</v>
      </c>
      <c r="L14" s="17">
        <v>0</v>
      </c>
      <c r="M14" s="18">
        <v>0</v>
      </c>
      <c r="N14" s="7" t="s">
        <v>41</v>
      </c>
      <c r="O14" s="7" t="s">
        <v>142</v>
      </c>
      <c r="P14" s="7" t="s">
        <v>143</v>
      </c>
      <c r="Q14" s="7" t="s">
        <v>144</v>
      </c>
      <c r="R14" s="7" t="s">
        <v>45</v>
      </c>
      <c r="S14" s="7" t="s">
        <v>45</v>
      </c>
      <c r="T14" s="7" t="s">
        <v>46</v>
      </c>
      <c r="U14" s="7" t="s">
        <v>58</v>
      </c>
      <c r="V14" s="7" t="s">
        <v>58</v>
      </c>
      <c r="W14" s="7" t="s">
        <v>58</v>
      </c>
      <c r="X14" s="7" t="s">
        <v>48</v>
      </c>
      <c r="Y14" s="7" t="s">
        <v>48</v>
      </c>
      <c r="Z14" s="7" t="s">
        <v>48</v>
      </c>
      <c r="AA14" s="7" t="s">
        <v>62</v>
      </c>
      <c r="AB14" s="7" t="s">
        <v>145</v>
      </c>
      <c r="AC14" s="7" t="s">
        <v>51</v>
      </c>
      <c r="AD14" s="7" t="s">
        <v>64</v>
      </c>
      <c r="AE14" s="7" t="s">
        <v>146</v>
      </c>
      <c r="AF14" s="7" t="s">
        <v>41</v>
      </c>
      <c r="AG14" s="7" t="s">
        <v>147</v>
      </c>
    </row>
    <row r="15" ht="42.75" spans="1:33">
      <c r="A15" s="7" t="s">
        <v>148</v>
      </c>
      <c r="B15" s="16" t="s">
        <v>149</v>
      </c>
      <c r="C15" s="7" t="s">
        <v>57</v>
      </c>
      <c r="D15" s="7" t="s">
        <v>58</v>
      </c>
      <c r="E15" s="7" t="s">
        <v>91</v>
      </c>
      <c r="F15" s="7" t="s">
        <v>121</v>
      </c>
      <c r="G15" s="7" t="s">
        <v>150</v>
      </c>
      <c r="H15" s="17">
        <v>279.480743</v>
      </c>
      <c r="I15" s="17">
        <v>17.349607</v>
      </c>
      <c r="J15" s="17">
        <v>17.349607</v>
      </c>
      <c r="K15" s="18">
        <v>0.062078</v>
      </c>
      <c r="L15" s="17">
        <v>0</v>
      </c>
      <c r="M15" s="18">
        <v>0</v>
      </c>
      <c r="N15" s="7" t="s">
        <v>41</v>
      </c>
      <c r="O15" s="7" t="s">
        <v>151</v>
      </c>
      <c r="P15" s="7" t="s">
        <v>152</v>
      </c>
      <c r="Q15" s="7" t="s">
        <v>153</v>
      </c>
      <c r="R15" s="7" t="s">
        <v>45</v>
      </c>
      <c r="S15" s="7" t="s">
        <v>45</v>
      </c>
      <c r="T15" s="7" t="s">
        <v>46</v>
      </c>
      <c r="U15" s="7" t="s">
        <v>58</v>
      </c>
      <c r="V15" s="7" t="s">
        <v>58</v>
      </c>
      <c r="W15" s="7" t="s">
        <v>58</v>
      </c>
      <c r="X15" s="7" t="s">
        <v>48</v>
      </c>
      <c r="Y15" s="7" t="s">
        <v>48</v>
      </c>
      <c r="Z15" s="7" t="s">
        <v>48</v>
      </c>
      <c r="AA15" s="7" t="s">
        <v>62</v>
      </c>
      <c r="AB15" s="7" t="s">
        <v>154</v>
      </c>
      <c r="AC15" s="7" t="s">
        <v>51</v>
      </c>
      <c r="AD15" s="7" t="s">
        <v>52</v>
      </c>
      <c r="AE15" s="7" t="s">
        <v>155</v>
      </c>
      <c r="AF15" s="7" t="s">
        <v>75</v>
      </c>
      <c r="AG15" s="7" t="s">
        <v>156</v>
      </c>
    </row>
    <row r="16" ht="28.5" spans="1:33">
      <c r="A16" s="7" t="s">
        <v>157</v>
      </c>
      <c r="B16" s="16" t="s">
        <v>149</v>
      </c>
      <c r="C16" s="7" t="s">
        <v>129</v>
      </c>
      <c r="D16" s="7" t="s">
        <v>158</v>
      </c>
      <c r="E16" s="7" t="s">
        <v>91</v>
      </c>
      <c r="F16" s="7" t="s">
        <v>121</v>
      </c>
      <c r="G16" s="7" t="s">
        <v>150</v>
      </c>
      <c r="H16" s="17">
        <v>279.480743</v>
      </c>
      <c r="I16" s="17">
        <v>17.349607</v>
      </c>
      <c r="J16" s="17">
        <v>17.349607</v>
      </c>
      <c r="K16" s="18">
        <v>0.062078</v>
      </c>
      <c r="L16" s="17">
        <v>0</v>
      </c>
      <c r="M16" s="18">
        <v>0</v>
      </c>
      <c r="N16" s="7" t="s">
        <v>41</v>
      </c>
      <c r="O16" s="7" t="s">
        <v>159</v>
      </c>
      <c r="P16" s="7" t="s">
        <v>160</v>
      </c>
      <c r="Q16" s="7" t="s">
        <v>161</v>
      </c>
      <c r="R16" s="7" t="s">
        <v>45</v>
      </c>
      <c r="S16" s="7" t="s">
        <v>45</v>
      </c>
      <c r="T16" s="7" t="s">
        <v>46</v>
      </c>
      <c r="U16" s="7" t="s">
        <v>158</v>
      </c>
      <c r="V16" s="7" t="s">
        <v>158</v>
      </c>
      <c r="W16" s="7" t="s">
        <v>158</v>
      </c>
      <c r="X16" s="7" t="s">
        <v>48</v>
      </c>
      <c r="Y16" s="7" t="s">
        <v>134</v>
      </c>
      <c r="Z16" s="7" t="s">
        <v>134</v>
      </c>
      <c r="AA16" s="7" t="s">
        <v>162</v>
      </c>
      <c r="AB16" s="7" t="s">
        <v>163</v>
      </c>
      <c r="AC16" s="7" t="s">
        <v>51</v>
      </c>
      <c r="AD16" s="7" t="s">
        <v>64</v>
      </c>
      <c r="AE16" s="7" t="s">
        <v>164</v>
      </c>
      <c r="AF16" s="7" t="s">
        <v>165</v>
      </c>
      <c r="AG16" s="7" t="s">
        <v>166</v>
      </c>
    </row>
    <row r="17" ht="42.75" spans="1:33">
      <c r="A17" s="7" t="s">
        <v>167</v>
      </c>
      <c r="B17" s="16" t="s">
        <v>168</v>
      </c>
      <c r="C17" s="7" t="s">
        <v>129</v>
      </c>
      <c r="D17" s="7" t="s">
        <v>130</v>
      </c>
      <c r="E17" s="7" t="s">
        <v>91</v>
      </c>
      <c r="F17" s="7" t="s">
        <v>121</v>
      </c>
      <c r="G17" s="7" t="s">
        <v>169</v>
      </c>
      <c r="H17" s="17">
        <v>237.403992</v>
      </c>
      <c r="I17" s="17">
        <v>29.127611</v>
      </c>
      <c r="J17" s="17">
        <v>29.127611</v>
      </c>
      <c r="K17" s="18">
        <v>0.122692</v>
      </c>
      <c r="L17" s="17">
        <v>0</v>
      </c>
      <c r="M17" s="18">
        <v>0</v>
      </c>
      <c r="N17" s="7" t="s">
        <v>41</v>
      </c>
      <c r="O17" s="7" t="s">
        <v>170</v>
      </c>
      <c r="P17" s="7" t="s">
        <v>171</v>
      </c>
      <c r="Q17" s="7" t="s">
        <v>172</v>
      </c>
      <c r="R17" s="7" t="s">
        <v>45</v>
      </c>
      <c r="S17" s="7" t="s">
        <v>45</v>
      </c>
      <c r="T17" s="7" t="s">
        <v>46</v>
      </c>
      <c r="U17" s="7" t="s">
        <v>130</v>
      </c>
      <c r="V17" s="7" t="s">
        <v>130</v>
      </c>
      <c r="W17" s="7" t="s">
        <v>130</v>
      </c>
      <c r="X17" s="7" t="s">
        <v>48</v>
      </c>
      <c r="Y17" s="7" t="s">
        <v>134</v>
      </c>
      <c r="Z17" s="7" t="s">
        <v>134</v>
      </c>
      <c r="AA17" s="7" t="s">
        <v>135</v>
      </c>
      <c r="AB17" s="7" t="s">
        <v>173</v>
      </c>
      <c r="AC17" s="7" t="s">
        <v>51</v>
      </c>
      <c r="AD17" s="7" t="s">
        <v>52</v>
      </c>
      <c r="AE17" s="7" t="s">
        <v>74</v>
      </c>
      <c r="AF17" s="7" t="s">
        <v>75</v>
      </c>
      <c r="AG17" s="7" t="s">
        <v>174</v>
      </c>
    </row>
    <row r="18" ht="42.75" spans="1:33">
      <c r="A18" s="7" t="s">
        <v>175</v>
      </c>
      <c r="B18" s="16" t="s">
        <v>168</v>
      </c>
      <c r="C18" s="7" t="s">
        <v>129</v>
      </c>
      <c r="D18" s="7" t="s">
        <v>130</v>
      </c>
      <c r="E18" s="7" t="s">
        <v>91</v>
      </c>
      <c r="F18" s="7" t="s">
        <v>121</v>
      </c>
      <c r="G18" s="7" t="s">
        <v>169</v>
      </c>
      <c r="H18" s="17">
        <v>237.403992</v>
      </c>
      <c r="I18" s="17">
        <v>29.127611</v>
      </c>
      <c r="J18" s="17">
        <v>29.127611</v>
      </c>
      <c r="K18" s="18">
        <v>0.122692</v>
      </c>
      <c r="L18" s="17">
        <v>0</v>
      </c>
      <c r="M18" s="18">
        <v>0</v>
      </c>
      <c r="N18" s="7" t="s">
        <v>41</v>
      </c>
      <c r="O18" s="7" t="s">
        <v>176</v>
      </c>
      <c r="P18" s="7" t="s">
        <v>177</v>
      </c>
      <c r="Q18" s="7" t="s">
        <v>178</v>
      </c>
      <c r="R18" s="7" t="s">
        <v>45</v>
      </c>
      <c r="S18" s="7" t="s">
        <v>45</v>
      </c>
      <c r="T18" s="7" t="s">
        <v>46</v>
      </c>
      <c r="U18" s="7" t="s">
        <v>130</v>
      </c>
      <c r="V18" s="7" t="s">
        <v>130</v>
      </c>
      <c r="W18" s="7" t="s">
        <v>130</v>
      </c>
      <c r="X18" s="7" t="s">
        <v>48</v>
      </c>
      <c r="Y18" s="7" t="s">
        <v>134</v>
      </c>
      <c r="Z18" s="7" t="s">
        <v>134</v>
      </c>
      <c r="AA18" s="7" t="s">
        <v>135</v>
      </c>
      <c r="AB18" s="7" t="s">
        <v>179</v>
      </c>
      <c r="AC18" s="7" t="s">
        <v>51</v>
      </c>
      <c r="AD18" s="7" t="s">
        <v>52</v>
      </c>
      <c r="AE18" s="7" t="s">
        <v>180</v>
      </c>
      <c r="AF18" s="7" t="s">
        <v>75</v>
      </c>
      <c r="AG18" s="7" t="s">
        <v>181</v>
      </c>
    </row>
    <row r="19" ht="28.5" spans="1:33">
      <c r="A19" s="7" t="s">
        <v>182</v>
      </c>
      <c r="B19" s="16" t="s">
        <v>168</v>
      </c>
      <c r="C19" s="7" t="s">
        <v>129</v>
      </c>
      <c r="D19" s="7" t="s">
        <v>158</v>
      </c>
      <c r="E19" s="7" t="s">
        <v>91</v>
      </c>
      <c r="F19" s="7" t="s">
        <v>121</v>
      </c>
      <c r="G19" s="7" t="s">
        <v>169</v>
      </c>
      <c r="H19" s="17">
        <v>237.403992</v>
      </c>
      <c r="I19" s="17">
        <v>29.127611</v>
      </c>
      <c r="J19" s="17">
        <v>29.127611</v>
      </c>
      <c r="K19" s="18">
        <v>0.122692</v>
      </c>
      <c r="L19" s="17">
        <v>0</v>
      </c>
      <c r="M19" s="18">
        <v>0</v>
      </c>
      <c r="N19" s="7" t="s">
        <v>41</v>
      </c>
      <c r="O19" s="7" t="s">
        <v>183</v>
      </c>
      <c r="P19" s="7" t="s">
        <v>184</v>
      </c>
      <c r="Q19" s="7" t="s">
        <v>185</v>
      </c>
      <c r="R19" s="7" t="s">
        <v>45</v>
      </c>
      <c r="S19" s="7" t="s">
        <v>45</v>
      </c>
      <c r="T19" s="7" t="s">
        <v>46</v>
      </c>
      <c r="U19" s="7" t="s">
        <v>158</v>
      </c>
      <c r="V19" s="7" t="s">
        <v>158</v>
      </c>
      <c r="W19" s="7" t="s">
        <v>158</v>
      </c>
      <c r="X19" s="7" t="s">
        <v>48</v>
      </c>
      <c r="Y19" s="7" t="s">
        <v>134</v>
      </c>
      <c r="Z19" s="7" t="s">
        <v>134</v>
      </c>
      <c r="AA19" s="7" t="s">
        <v>162</v>
      </c>
      <c r="AB19" s="7" t="s">
        <v>186</v>
      </c>
      <c r="AC19" s="7" t="s">
        <v>51</v>
      </c>
      <c r="AD19" s="7" t="s">
        <v>64</v>
      </c>
      <c r="AE19" s="7" t="s">
        <v>187</v>
      </c>
      <c r="AF19" s="7" t="s">
        <v>188</v>
      </c>
      <c r="AG19" s="7" t="s">
        <v>189</v>
      </c>
    </row>
    <row r="20" ht="28.5" spans="1:33">
      <c r="A20" s="7" t="s">
        <v>190</v>
      </c>
      <c r="B20" s="16" t="s">
        <v>168</v>
      </c>
      <c r="C20" s="7" t="s">
        <v>129</v>
      </c>
      <c r="D20" s="7" t="s">
        <v>158</v>
      </c>
      <c r="E20" s="7" t="s">
        <v>91</v>
      </c>
      <c r="F20" s="7" t="s">
        <v>121</v>
      </c>
      <c r="G20" s="7" t="s">
        <v>169</v>
      </c>
      <c r="H20" s="17">
        <v>237.403992</v>
      </c>
      <c r="I20" s="17">
        <v>29.127611</v>
      </c>
      <c r="J20" s="17">
        <v>29.127611</v>
      </c>
      <c r="K20" s="18">
        <v>0.122692</v>
      </c>
      <c r="L20" s="17">
        <v>0</v>
      </c>
      <c r="M20" s="18">
        <v>0</v>
      </c>
      <c r="N20" s="7" t="s">
        <v>41</v>
      </c>
      <c r="O20" s="7" t="s">
        <v>191</v>
      </c>
      <c r="P20" s="7" t="s">
        <v>192</v>
      </c>
      <c r="Q20" s="7" t="s">
        <v>193</v>
      </c>
      <c r="R20" s="7" t="s">
        <v>45</v>
      </c>
      <c r="S20" s="7" t="s">
        <v>45</v>
      </c>
      <c r="T20" s="7" t="s">
        <v>46</v>
      </c>
      <c r="U20" s="7" t="s">
        <v>158</v>
      </c>
      <c r="V20" s="7" t="s">
        <v>158</v>
      </c>
      <c r="W20" s="7" t="s">
        <v>158</v>
      </c>
      <c r="X20" s="7" t="s">
        <v>48</v>
      </c>
      <c r="Y20" s="7" t="s">
        <v>134</v>
      </c>
      <c r="Z20" s="7" t="s">
        <v>134</v>
      </c>
      <c r="AA20" s="7" t="s">
        <v>162</v>
      </c>
      <c r="AB20" s="7" t="s">
        <v>194</v>
      </c>
      <c r="AC20" s="7" t="s">
        <v>51</v>
      </c>
      <c r="AD20" s="7" t="s">
        <v>64</v>
      </c>
      <c r="AE20" s="7" t="s">
        <v>195</v>
      </c>
      <c r="AF20" s="7" t="s">
        <v>165</v>
      </c>
      <c r="AG20" s="7" t="s">
        <v>196</v>
      </c>
    </row>
    <row r="21" ht="42.75" spans="1:33">
      <c r="A21" s="7" t="s">
        <v>197</v>
      </c>
      <c r="B21" s="16" t="s">
        <v>198</v>
      </c>
      <c r="C21" s="7" t="s">
        <v>57</v>
      </c>
      <c r="D21" s="7" t="s">
        <v>58</v>
      </c>
      <c r="E21" s="7" t="s">
        <v>91</v>
      </c>
      <c r="F21" s="7" t="s">
        <v>121</v>
      </c>
      <c r="G21" s="7" t="s">
        <v>199</v>
      </c>
      <c r="H21" s="17">
        <v>187.436844</v>
      </c>
      <c r="I21" s="17">
        <v>35.453758</v>
      </c>
      <c r="J21" s="17">
        <v>35.453758</v>
      </c>
      <c r="K21" s="18">
        <v>0.18915</v>
      </c>
      <c r="L21" s="17">
        <v>0</v>
      </c>
      <c r="M21" s="18">
        <v>0</v>
      </c>
      <c r="N21" s="7" t="s">
        <v>41</v>
      </c>
      <c r="O21" s="7" t="s">
        <v>200</v>
      </c>
      <c r="P21" s="7" t="s">
        <v>201</v>
      </c>
      <c r="Q21" s="7" t="s">
        <v>202</v>
      </c>
      <c r="R21" s="7" t="s">
        <v>45</v>
      </c>
      <c r="S21" s="7" t="s">
        <v>45</v>
      </c>
      <c r="T21" s="7" t="s">
        <v>46</v>
      </c>
      <c r="U21" s="7" t="s">
        <v>58</v>
      </c>
      <c r="V21" s="7" t="s">
        <v>58</v>
      </c>
      <c r="W21" s="7" t="s">
        <v>58</v>
      </c>
      <c r="X21" s="7" t="s">
        <v>48</v>
      </c>
      <c r="Y21" s="7" t="s">
        <v>48</v>
      </c>
      <c r="Z21" s="7" t="s">
        <v>48</v>
      </c>
      <c r="AA21" s="7" t="s">
        <v>62</v>
      </c>
      <c r="AB21" s="7" t="s">
        <v>203</v>
      </c>
      <c r="AC21" s="7" t="s">
        <v>51</v>
      </c>
      <c r="AD21" s="7" t="s">
        <v>52</v>
      </c>
      <c r="AE21" s="7" t="s">
        <v>204</v>
      </c>
      <c r="AF21" s="7" t="s">
        <v>75</v>
      </c>
      <c r="AG21" s="7" t="s">
        <v>205</v>
      </c>
    </row>
    <row r="22" ht="42.75" spans="1:33">
      <c r="A22" s="7" t="s">
        <v>206</v>
      </c>
      <c r="B22" s="16" t="s">
        <v>207</v>
      </c>
      <c r="C22" s="7" t="s">
        <v>57</v>
      </c>
      <c r="D22" s="7" t="s">
        <v>58</v>
      </c>
      <c r="E22" s="7" t="s">
        <v>91</v>
      </c>
      <c r="F22" s="7" t="s">
        <v>121</v>
      </c>
      <c r="G22" s="7" t="s">
        <v>208</v>
      </c>
      <c r="H22" s="17">
        <v>353.704712</v>
      </c>
      <c r="I22" s="17">
        <v>30.502449</v>
      </c>
      <c r="J22" s="17">
        <v>30.502449</v>
      </c>
      <c r="K22" s="18">
        <v>0.086237</v>
      </c>
      <c r="L22" s="17">
        <v>0</v>
      </c>
      <c r="M22" s="18">
        <v>0</v>
      </c>
      <c r="N22" s="7" t="s">
        <v>41</v>
      </c>
      <c r="O22" s="7" t="s">
        <v>209</v>
      </c>
      <c r="P22" s="7" t="s">
        <v>210</v>
      </c>
      <c r="Q22" s="7" t="s">
        <v>211</v>
      </c>
      <c r="R22" s="7" t="s">
        <v>45</v>
      </c>
      <c r="S22" s="7" t="s">
        <v>45</v>
      </c>
      <c r="T22" s="7" t="s">
        <v>46</v>
      </c>
      <c r="U22" s="7" t="s">
        <v>58</v>
      </c>
      <c r="V22" s="7" t="s">
        <v>58</v>
      </c>
      <c r="W22" s="7" t="s">
        <v>58</v>
      </c>
      <c r="X22" s="7" t="s">
        <v>48</v>
      </c>
      <c r="Y22" s="7" t="s">
        <v>48</v>
      </c>
      <c r="Z22" s="7" t="s">
        <v>48</v>
      </c>
      <c r="AA22" s="7" t="s">
        <v>62</v>
      </c>
      <c r="AB22" s="7" t="s">
        <v>212</v>
      </c>
      <c r="AC22" s="7" t="s">
        <v>51</v>
      </c>
      <c r="AD22" s="7" t="s">
        <v>52</v>
      </c>
      <c r="AE22" s="7" t="s">
        <v>74</v>
      </c>
      <c r="AF22" s="7" t="s">
        <v>75</v>
      </c>
      <c r="AG22" s="7" t="s">
        <v>213</v>
      </c>
    </row>
    <row r="23" ht="42.75" spans="1:33">
      <c r="A23" s="7" t="s">
        <v>214</v>
      </c>
      <c r="B23" s="16" t="s">
        <v>215</v>
      </c>
      <c r="C23" s="7" t="s">
        <v>129</v>
      </c>
      <c r="D23" s="7" t="s">
        <v>130</v>
      </c>
      <c r="E23" s="7" t="s">
        <v>91</v>
      </c>
      <c r="F23" s="7" t="s">
        <v>121</v>
      </c>
      <c r="G23" s="7" t="s">
        <v>216</v>
      </c>
      <c r="H23" s="17">
        <v>333.230225</v>
      </c>
      <c r="I23" s="17">
        <v>7.6333</v>
      </c>
      <c r="J23" s="17">
        <v>7.6333</v>
      </c>
      <c r="K23" s="18">
        <v>0.022907</v>
      </c>
      <c r="L23" s="17">
        <v>0</v>
      </c>
      <c r="M23" s="18">
        <v>0</v>
      </c>
      <c r="N23" s="7" t="s">
        <v>41</v>
      </c>
      <c r="O23" s="7" t="s">
        <v>217</v>
      </c>
      <c r="P23" s="7" t="s">
        <v>218</v>
      </c>
      <c r="Q23" s="7" t="s">
        <v>219</v>
      </c>
      <c r="R23" s="7" t="s">
        <v>45</v>
      </c>
      <c r="S23" s="7" t="s">
        <v>45</v>
      </c>
      <c r="T23" s="7" t="s">
        <v>46</v>
      </c>
      <c r="U23" s="7" t="s">
        <v>130</v>
      </c>
      <c r="V23" s="7" t="s">
        <v>130</v>
      </c>
      <c r="W23" s="7" t="s">
        <v>130</v>
      </c>
      <c r="X23" s="7" t="s">
        <v>48</v>
      </c>
      <c r="Y23" s="7" t="s">
        <v>134</v>
      </c>
      <c r="Z23" s="7" t="s">
        <v>134</v>
      </c>
      <c r="AA23" s="7" t="s">
        <v>135</v>
      </c>
      <c r="AB23" s="7" t="s">
        <v>220</v>
      </c>
      <c r="AC23" s="7" t="s">
        <v>51</v>
      </c>
      <c r="AD23" s="7" t="s">
        <v>52</v>
      </c>
      <c r="AE23" s="7" t="s">
        <v>221</v>
      </c>
      <c r="AF23" s="7" t="s">
        <v>75</v>
      </c>
      <c r="AG23" s="7" t="s">
        <v>222</v>
      </c>
    </row>
    <row r="24" ht="28.5" spans="1:33">
      <c r="A24" s="7" t="s">
        <v>223</v>
      </c>
      <c r="B24" s="16" t="s">
        <v>215</v>
      </c>
      <c r="C24" s="7" t="s">
        <v>129</v>
      </c>
      <c r="D24" s="7" t="s">
        <v>158</v>
      </c>
      <c r="E24" s="7" t="s">
        <v>91</v>
      </c>
      <c r="F24" s="7" t="s">
        <v>121</v>
      </c>
      <c r="G24" s="7" t="s">
        <v>216</v>
      </c>
      <c r="H24" s="17">
        <v>333.230225</v>
      </c>
      <c r="I24" s="17">
        <v>7.6333</v>
      </c>
      <c r="J24" s="17">
        <v>7.6333</v>
      </c>
      <c r="K24" s="18">
        <v>0.022907</v>
      </c>
      <c r="L24" s="17">
        <v>0</v>
      </c>
      <c r="M24" s="18">
        <v>0</v>
      </c>
      <c r="N24" s="7" t="s">
        <v>41</v>
      </c>
      <c r="O24" s="7" t="s">
        <v>224</v>
      </c>
      <c r="P24" s="7" t="s">
        <v>225</v>
      </c>
      <c r="Q24" s="7" t="s">
        <v>226</v>
      </c>
      <c r="R24" s="7" t="s">
        <v>45</v>
      </c>
      <c r="S24" s="7" t="s">
        <v>45</v>
      </c>
      <c r="T24" s="7" t="s">
        <v>46</v>
      </c>
      <c r="U24" s="7" t="s">
        <v>158</v>
      </c>
      <c r="V24" s="7" t="s">
        <v>227</v>
      </c>
      <c r="W24" s="7" t="s">
        <v>158</v>
      </c>
      <c r="X24" s="7" t="s">
        <v>48</v>
      </c>
      <c r="Y24" s="7" t="s">
        <v>134</v>
      </c>
      <c r="Z24" s="7" t="s">
        <v>134</v>
      </c>
      <c r="AA24" s="7" t="s">
        <v>162</v>
      </c>
      <c r="AB24" s="7" t="s">
        <v>228</v>
      </c>
      <c r="AC24" s="7" t="s">
        <v>51</v>
      </c>
      <c r="AD24" s="7" t="s">
        <v>52</v>
      </c>
      <c r="AE24" s="7" t="s">
        <v>155</v>
      </c>
      <c r="AF24" s="7" t="s">
        <v>75</v>
      </c>
      <c r="AG24" s="7" t="s">
        <v>229</v>
      </c>
    </row>
    <row r="25" ht="28.5" spans="1:33">
      <c r="A25" s="7" t="s">
        <v>230</v>
      </c>
      <c r="B25" s="16" t="s">
        <v>215</v>
      </c>
      <c r="C25" s="7" t="s">
        <v>129</v>
      </c>
      <c r="D25" s="7" t="s">
        <v>158</v>
      </c>
      <c r="E25" s="7" t="s">
        <v>91</v>
      </c>
      <c r="F25" s="7" t="s">
        <v>121</v>
      </c>
      <c r="G25" s="7" t="s">
        <v>216</v>
      </c>
      <c r="H25" s="17">
        <v>333.230225</v>
      </c>
      <c r="I25" s="17">
        <v>7.6333</v>
      </c>
      <c r="J25" s="17">
        <v>7.6333</v>
      </c>
      <c r="K25" s="18">
        <v>0.022907</v>
      </c>
      <c r="L25" s="17">
        <v>0</v>
      </c>
      <c r="M25" s="18">
        <v>0</v>
      </c>
      <c r="N25" s="7" t="s">
        <v>41</v>
      </c>
      <c r="O25" s="7" t="s">
        <v>231</v>
      </c>
      <c r="P25" s="7" t="s">
        <v>232</v>
      </c>
      <c r="Q25" s="7" t="s">
        <v>233</v>
      </c>
      <c r="R25" s="7" t="s">
        <v>45</v>
      </c>
      <c r="S25" s="7" t="s">
        <v>45</v>
      </c>
      <c r="T25" s="7" t="s">
        <v>46</v>
      </c>
      <c r="U25" s="7" t="s">
        <v>158</v>
      </c>
      <c r="V25" s="7" t="s">
        <v>227</v>
      </c>
      <c r="W25" s="7" t="s">
        <v>158</v>
      </c>
      <c r="X25" s="7" t="s">
        <v>48</v>
      </c>
      <c r="Y25" s="7" t="s">
        <v>134</v>
      </c>
      <c r="Z25" s="7" t="s">
        <v>134</v>
      </c>
      <c r="AA25" s="7" t="s">
        <v>162</v>
      </c>
      <c r="AB25" s="7" t="s">
        <v>234</v>
      </c>
      <c r="AC25" s="7" t="s">
        <v>51</v>
      </c>
      <c r="AD25" s="7" t="s">
        <v>52</v>
      </c>
      <c r="AE25" s="7" t="s">
        <v>235</v>
      </c>
      <c r="AF25" s="7" t="s">
        <v>75</v>
      </c>
      <c r="AG25" s="7" t="s">
        <v>236</v>
      </c>
    </row>
    <row r="26" ht="57" spans="1:33">
      <c r="A26" s="7" t="s">
        <v>237</v>
      </c>
      <c r="B26" s="16" t="s">
        <v>215</v>
      </c>
      <c r="C26" s="7" t="s">
        <v>129</v>
      </c>
      <c r="D26" s="7" t="s">
        <v>227</v>
      </c>
      <c r="E26" s="7" t="s">
        <v>91</v>
      </c>
      <c r="F26" s="7" t="s">
        <v>121</v>
      </c>
      <c r="G26" s="7" t="s">
        <v>216</v>
      </c>
      <c r="H26" s="17">
        <v>333.230225</v>
      </c>
      <c r="I26" s="17">
        <v>7.6333</v>
      </c>
      <c r="J26" s="17">
        <v>7.6333</v>
      </c>
      <c r="K26" s="18">
        <v>0.022907</v>
      </c>
      <c r="L26" s="17">
        <v>0</v>
      </c>
      <c r="M26" s="18">
        <v>0</v>
      </c>
      <c r="N26" s="7" t="s">
        <v>41</v>
      </c>
      <c r="O26" s="7" t="s">
        <v>238</v>
      </c>
      <c r="P26" s="7" t="s">
        <v>239</v>
      </c>
      <c r="Q26" s="7" t="s">
        <v>240</v>
      </c>
      <c r="R26" s="7" t="s">
        <v>45</v>
      </c>
      <c r="S26" s="7" t="s">
        <v>45</v>
      </c>
      <c r="T26" s="7" t="s">
        <v>46</v>
      </c>
      <c r="U26" s="7" t="s">
        <v>227</v>
      </c>
      <c r="V26" s="7" t="s">
        <v>227</v>
      </c>
      <c r="W26" s="7" t="s">
        <v>227</v>
      </c>
      <c r="X26" s="7" t="s">
        <v>48</v>
      </c>
      <c r="Y26" s="7" t="s">
        <v>134</v>
      </c>
      <c r="Z26" s="7" t="s">
        <v>134</v>
      </c>
      <c r="AA26" s="7" t="s">
        <v>241</v>
      </c>
      <c r="AB26" s="7" t="s">
        <v>242</v>
      </c>
      <c r="AC26" s="7" t="s">
        <v>51</v>
      </c>
      <c r="AD26" s="7" t="s">
        <v>243</v>
      </c>
      <c r="AE26" s="7" t="s">
        <v>244</v>
      </c>
      <c r="AF26" s="7" t="s">
        <v>245</v>
      </c>
      <c r="AG26" s="7" t="s">
        <v>246</v>
      </c>
    </row>
    <row r="27" ht="42.75" spans="1:33">
      <c r="A27" s="7" t="s">
        <v>247</v>
      </c>
      <c r="B27" s="16" t="s">
        <v>248</v>
      </c>
      <c r="C27" s="7" t="s">
        <v>129</v>
      </c>
      <c r="D27" s="7" t="s">
        <v>130</v>
      </c>
      <c r="E27" s="7" t="s">
        <v>91</v>
      </c>
      <c r="F27" s="7" t="s">
        <v>121</v>
      </c>
      <c r="G27" s="7" t="s">
        <v>249</v>
      </c>
      <c r="H27" s="17">
        <v>274.896027</v>
      </c>
      <c r="I27" s="17">
        <v>25.637844</v>
      </c>
      <c r="J27" s="17">
        <v>25.637844</v>
      </c>
      <c r="K27" s="18">
        <v>0.093264</v>
      </c>
      <c r="L27" s="17">
        <v>0</v>
      </c>
      <c r="M27" s="18">
        <v>0</v>
      </c>
      <c r="N27" s="7" t="s">
        <v>41</v>
      </c>
      <c r="O27" s="7" t="s">
        <v>250</v>
      </c>
      <c r="P27" s="7" t="s">
        <v>251</v>
      </c>
      <c r="Q27" s="7" t="s">
        <v>252</v>
      </c>
      <c r="R27" s="7" t="s">
        <v>45</v>
      </c>
      <c r="S27" s="7" t="s">
        <v>45</v>
      </c>
      <c r="T27" s="7" t="s">
        <v>46</v>
      </c>
      <c r="U27" s="7" t="s">
        <v>130</v>
      </c>
      <c r="V27" s="7" t="s">
        <v>130</v>
      </c>
      <c r="W27" s="7" t="s">
        <v>130</v>
      </c>
      <c r="X27" s="7" t="s">
        <v>48</v>
      </c>
      <c r="Y27" s="7" t="s">
        <v>134</v>
      </c>
      <c r="Z27" s="7" t="s">
        <v>134</v>
      </c>
      <c r="AA27" s="7" t="s">
        <v>135</v>
      </c>
      <c r="AB27" s="7" t="s">
        <v>253</v>
      </c>
      <c r="AC27" s="7" t="s">
        <v>51</v>
      </c>
      <c r="AD27" s="7" t="s">
        <v>52</v>
      </c>
      <c r="AE27" s="7" t="s">
        <v>254</v>
      </c>
      <c r="AF27" s="7" t="s">
        <v>75</v>
      </c>
      <c r="AG27" s="7" t="s">
        <v>255</v>
      </c>
    </row>
    <row r="28" ht="42.75" spans="1:33">
      <c r="A28" s="7" t="s">
        <v>256</v>
      </c>
      <c r="B28" s="16" t="s">
        <v>248</v>
      </c>
      <c r="C28" s="7" t="s">
        <v>129</v>
      </c>
      <c r="D28" s="7" t="s">
        <v>130</v>
      </c>
      <c r="E28" s="7" t="s">
        <v>91</v>
      </c>
      <c r="F28" s="7" t="s">
        <v>121</v>
      </c>
      <c r="G28" s="7" t="s">
        <v>249</v>
      </c>
      <c r="H28" s="17">
        <v>274.896027</v>
      </c>
      <c r="I28" s="17">
        <v>25.637844</v>
      </c>
      <c r="J28" s="17">
        <v>25.637844</v>
      </c>
      <c r="K28" s="18">
        <v>0.093264</v>
      </c>
      <c r="L28" s="17">
        <v>0</v>
      </c>
      <c r="M28" s="18">
        <v>0</v>
      </c>
      <c r="N28" s="7" t="s">
        <v>41</v>
      </c>
      <c r="O28" s="7" t="s">
        <v>257</v>
      </c>
      <c r="P28" s="7" t="s">
        <v>258</v>
      </c>
      <c r="Q28" s="7" t="s">
        <v>259</v>
      </c>
      <c r="R28" s="7" t="s">
        <v>45</v>
      </c>
      <c r="S28" s="7" t="s">
        <v>45</v>
      </c>
      <c r="T28" s="7" t="s">
        <v>46</v>
      </c>
      <c r="U28" s="7" t="s">
        <v>130</v>
      </c>
      <c r="V28" s="7" t="s">
        <v>130</v>
      </c>
      <c r="W28" s="7" t="s">
        <v>130</v>
      </c>
      <c r="X28" s="7" t="s">
        <v>48</v>
      </c>
      <c r="Y28" s="7" t="s">
        <v>134</v>
      </c>
      <c r="Z28" s="7" t="s">
        <v>134</v>
      </c>
      <c r="AA28" s="7" t="s">
        <v>135</v>
      </c>
      <c r="AB28" s="7" t="s">
        <v>260</v>
      </c>
      <c r="AC28" s="7" t="s">
        <v>51</v>
      </c>
      <c r="AD28" s="7" t="s">
        <v>52</v>
      </c>
      <c r="AE28" s="7" t="s">
        <v>261</v>
      </c>
      <c r="AF28" s="7" t="s">
        <v>41</v>
      </c>
      <c r="AG28" s="7" t="s">
        <v>262</v>
      </c>
    </row>
    <row r="29" ht="42.75" spans="1:33">
      <c r="A29" s="7" t="s">
        <v>263</v>
      </c>
      <c r="B29" s="16" t="s">
        <v>264</v>
      </c>
      <c r="C29" s="7" t="s">
        <v>129</v>
      </c>
      <c r="D29" s="7" t="s">
        <v>130</v>
      </c>
      <c r="E29" s="7" t="s">
        <v>91</v>
      </c>
      <c r="F29" s="7" t="s">
        <v>265</v>
      </c>
      <c r="G29" s="7" t="s">
        <v>266</v>
      </c>
      <c r="H29" s="17">
        <v>330.505676</v>
      </c>
      <c r="I29" s="17">
        <v>108.119324</v>
      </c>
      <c r="J29" s="17">
        <v>11.749238</v>
      </c>
      <c r="K29" s="18">
        <v>0.327133</v>
      </c>
      <c r="L29" s="17">
        <v>96.370086</v>
      </c>
      <c r="M29" s="18">
        <v>0.891331</v>
      </c>
      <c r="N29" s="7" t="s">
        <v>41</v>
      </c>
      <c r="O29" s="7" t="s">
        <v>267</v>
      </c>
      <c r="P29" s="7" t="s">
        <v>268</v>
      </c>
      <c r="Q29" s="7" t="s">
        <v>269</v>
      </c>
      <c r="R29" s="7" t="s">
        <v>45</v>
      </c>
      <c r="S29" s="7" t="s">
        <v>45</v>
      </c>
      <c r="T29" s="7" t="s">
        <v>46</v>
      </c>
      <c r="U29" s="7" t="s">
        <v>130</v>
      </c>
      <c r="V29" s="7" t="s">
        <v>130</v>
      </c>
      <c r="W29" s="7" t="s">
        <v>130</v>
      </c>
      <c r="X29" s="7" t="s">
        <v>48</v>
      </c>
      <c r="Y29" s="7" t="s">
        <v>134</v>
      </c>
      <c r="Z29" s="7" t="s">
        <v>134</v>
      </c>
      <c r="AA29" s="7" t="s">
        <v>135</v>
      </c>
      <c r="AB29" s="7" t="s">
        <v>270</v>
      </c>
      <c r="AC29" s="7" t="s">
        <v>51</v>
      </c>
      <c r="AD29" s="7" t="s">
        <v>52</v>
      </c>
      <c r="AE29" s="7" t="s">
        <v>117</v>
      </c>
      <c r="AF29" s="7" t="s">
        <v>75</v>
      </c>
      <c r="AG29" s="7" t="s">
        <v>271</v>
      </c>
    </row>
    <row r="30" ht="42.75" spans="1:33">
      <c r="A30" s="7" t="s">
        <v>272</v>
      </c>
      <c r="B30" s="16" t="s">
        <v>264</v>
      </c>
      <c r="C30" s="7" t="s">
        <v>129</v>
      </c>
      <c r="D30" s="7" t="s">
        <v>130</v>
      </c>
      <c r="E30" s="7" t="s">
        <v>91</v>
      </c>
      <c r="F30" s="7" t="s">
        <v>265</v>
      </c>
      <c r="G30" s="7" t="s">
        <v>266</v>
      </c>
      <c r="H30" s="17">
        <v>330.505676</v>
      </c>
      <c r="I30" s="17">
        <v>108.119324</v>
      </c>
      <c r="J30" s="17">
        <v>11.749238</v>
      </c>
      <c r="K30" s="18">
        <v>0.327133</v>
      </c>
      <c r="L30" s="17">
        <v>96.370086</v>
      </c>
      <c r="M30" s="18">
        <v>0.891331</v>
      </c>
      <c r="N30" s="7" t="s">
        <v>41</v>
      </c>
      <c r="O30" s="7" t="s">
        <v>273</v>
      </c>
      <c r="P30" s="7" t="s">
        <v>274</v>
      </c>
      <c r="Q30" s="7" t="s">
        <v>275</v>
      </c>
      <c r="R30" s="7" t="s">
        <v>45</v>
      </c>
      <c r="S30" s="7" t="s">
        <v>45</v>
      </c>
      <c r="T30" s="7" t="s">
        <v>46</v>
      </c>
      <c r="U30" s="7" t="s">
        <v>130</v>
      </c>
      <c r="V30" s="7" t="s">
        <v>130</v>
      </c>
      <c r="W30" s="7" t="s">
        <v>130</v>
      </c>
      <c r="X30" s="7" t="s">
        <v>48</v>
      </c>
      <c r="Y30" s="7" t="s">
        <v>134</v>
      </c>
      <c r="Z30" s="7" t="s">
        <v>134</v>
      </c>
      <c r="AA30" s="7" t="s">
        <v>135</v>
      </c>
      <c r="AB30" s="7" t="s">
        <v>276</v>
      </c>
      <c r="AC30" s="7" t="s">
        <v>51</v>
      </c>
      <c r="AD30" s="7" t="s">
        <v>277</v>
      </c>
      <c r="AE30" s="7" t="s">
        <v>278</v>
      </c>
      <c r="AF30" s="7" t="s">
        <v>41</v>
      </c>
      <c r="AG30" s="7" t="s">
        <v>279</v>
      </c>
    </row>
    <row r="31" ht="42.75" spans="1:33">
      <c r="A31" s="7" t="s">
        <v>280</v>
      </c>
      <c r="B31" s="16" t="s">
        <v>281</v>
      </c>
      <c r="C31" s="7" t="s">
        <v>57</v>
      </c>
      <c r="D31" s="7" t="s">
        <v>58</v>
      </c>
      <c r="E31" s="7" t="s">
        <v>91</v>
      </c>
      <c r="F31" s="7" t="s">
        <v>265</v>
      </c>
      <c r="G31" s="7" t="s">
        <v>282</v>
      </c>
      <c r="H31" s="17">
        <v>184.834534</v>
      </c>
      <c r="I31" s="17">
        <v>65.779465</v>
      </c>
      <c r="J31" s="17">
        <v>44.040752</v>
      </c>
      <c r="K31" s="18">
        <v>0.355883</v>
      </c>
      <c r="L31" s="17">
        <v>21.738712</v>
      </c>
      <c r="M31" s="18">
        <v>0.330479</v>
      </c>
      <c r="N31" s="7" t="s">
        <v>41</v>
      </c>
      <c r="O31" s="7" t="s">
        <v>283</v>
      </c>
      <c r="P31" s="7" t="s">
        <v>284</v>
      </c>
      <c r="Q31" s="7" t="s">
        <v>285</v>
      </c>
      <c r="R31" s="7" t="s">
        <v>45</v>
      </c>
      <c r="S31" s="7" t="s">
        <v>45</v>
      </c>
      <c r="T31" s="7" t="s">
        <v>46</v>
      </c>
      <c r="U31" s="7" t="s">
        <v>58</v>
      </c>
      <c r="V31" s="7" t="s">
        <v>115</v>
      </c>
      <c r="W31" s="7" t="s">
        <v>58</v>
      </c>
      <c r="X31" s="7" t="s">
        <v>48</v>
      </c>
      <c r="Y31" s="7" t="s">
        <v>48</v>
      </c>
      <c r="Z31" s="7" t="s">
        <v>48</v>
      </c>
      <c r="AA31" s="7" t="s">
        <v>62</v>
      </c>
      <c r="AB31" s="7" t="s">
        <v>286</v>
      </c>
      <c r="AC31" s="7" t="s">
        <v>51</v>
      </c>
      <c r="AD31" s="7" t="s">
        <v>52</v>
      </c>
      <c r="AE31" s="7" t="s">
        <v>155</v>
      </c>
      <c r="AF31" s="7" t="s">
        <v>75</v>
      </c>
      <c r="AG31" s="7" t="s">
        <v>287</v>
      </c>
    </row>
    <row r="32" ht="42.75" spans="1:33">
      <c r="A32" s="7" t="s">
        <v>288</v>
      </c>
      <c r="B32" s="16" t="s">
        <v>289</v>
      </c>
      <c r="C32" s="7" t="s">
        <v>57</v>
      </c>
      <c r="D32" s="7" t="s">
        <v>58</v>
      </c>
      <c r="E32" s="7" t="s">
        <v>91</v>
      </c>
      <c r="F32" s="7" t="s">
        <v>265</v>
      </c>
      <c r="G32" s="7" t="s">
        <v>290</v>
      </c>
      <c r="H32" s="17">
        <v>353.047302</v>
      </c>
      <c r="I32" s="17">
        <v>260.401459</v>
      </c>
      <c r="J32" s="17">
        <v>242.858459</v>
      </c>
      <c r="K32" s="18">
        <v>0.737582</v>
      </c>
      <c r="L32" s="17">
        <v>17.542999</v>
      </c>
      <c r="M32" s="18">
        <v>0.067369</v>
      </c>
      <c r="N32" s="7" t="s">
        <v>41</v>
      </c>
      <c r="O32" s="7" t="s">
        <v>291</v>
      </c>
      <c r="P32" s="7" t="s">
        <v>292</v>
      </c>
      <c r="Q32" s="7" t="s">
        <v>293</v>
      </c>
      <c r="R32" s="7" t="s">
        <v>45</v>
      </c>
      <c r="S32" s="7" t="s">
        <v>45</v>
      </c>
      <c r="T32" s="7" t="s">
        <v>46</v>
      </c>
      <c r="U32" s="7" t="s">
        <v>58</v>
      </c>
      <c r="V32" s="7" t="s">
        <v>58</v>
      </c>
      <c r="W32" s="7" t="s">
        <v>58</v>
      </c>
      <c r="X32" s="7" t="s">
        <v>48</v>
      </c>
      <c r="Y32" s="7" t="s">
        <v>48</v>
      </c>
      <c r="Z32" s="7" t="s">
        <v>48</v>
      </c>
      <c r="AA32" s="7" t="s">
        <v>62</v>
      </c>
      <c r="AB32" s="7" t="s">
        <v>294</v>
      </c>
      <c r="AC32" s="7" t="s">
        <v>51</v>
      </c>
      <c r="AD32" s="7" t="s">
        <v>64</v>
      </c>
      <c r="AE32" s="7" t="s">
        <v>295</v>
      </c>
      <c r="AF32" s="7" t="s">
        <v>75</v>
      </c>
      <c r="AG32" s="7" t="s">
        <v>296</v>
      </c>
    </row>
    <row r="33" ht="28.5" spans="1:33">
      <c r="A33" s="7" t="s">
        <v>297</v>
      </c>
      <c r="B33" s="16" t="s">
        <v>289</v>
      </c>
      <c r="C33" s="7" t="s">
        <v>129</v>
      </c>
      <c r="D33" s="7" t="s">
        <v>158</v>
      </c>
      <c r="E33" s="7" t="s">
        <v>91</v>
      </c>
      <c r="F33" s="7" t="s">
        <v>265</v>
      </c>
      <c r="G33" s="7" t="s">
        <v>290</v>
      </c>
      <c r="H33" s="17">
        <v>353.047302</v>
      </c>
      <c r="I33" s="17">
        <v>260.401459</v>
      </c>
      <c r="J33" s="17">
        <v>242.858459</v>
      </c>
      <c r="K33" s="18">
        <v>0.737582</v>
      </c>
      <c r="L33" s="17">
        <v>17.542999</v>
      </c>
      <c r="M33" s="18">
        <v>0.067369</v>
      </c>
      <c r="N33" s="7" t="s">
        <v>41</v>
      </c>
      <c r="O33" s="7" t="s">
        <v>298</v>
      </c>
      <c r="P33" s="7" t="s">
        <v>299</v>
      </c>
      <c r="Q33" s="7" t="s">
        <v>300</v>
      </c>
      <c r="R33" s="7" t="s">
        <v>45</v>
      </c>
      <c r="S33" s="7" t="s">
        <v>45</v>
      </c>
      <c r="T33" s="7" t="s">
        <v>46</v>
      </c>
      <c r="U33" s="7" t="s">
        <v>158</v>
      </c>
      <c r="V33" s="7" t="s">
        <v>158</v>
      </c>
      <c r="W33" s="7" t="s">
        <v>158</v>
      </c>
      <c r="X33" s="7" t="s">
        <v>48</v>
      </c>
      <c r="Y33" s="7" t="s">
        <v>134</v>
      </c>
      <c r="Z33" s="7" t="s">
        <v>134</v>
      </c>
      <c r="AA33" s="7" t="s">
        <v>162</v>
      </c>
      <c r="AB33" s="7" t="s">
        <v>301</v>
      </c>
      <c r="AC33" s="7" t="s">
        <v>51</v>
      </c>
      <c r="AD33" s="7" t="s">
        <v>64</v>
      </c>
      <c r="AE33" s="7" t="s">
        <v>302</v>
      </c>
      <c r="AF33" s="7" t="s">
        <v>41</v>
      </c>
      <c r="AG33" s="7" t="s">
        <v>303</v>
      </c>
    </row>
    <row r="34" ht="42.75" spans="1:33">
      <c r="A34" s="7" t="s">
        <v>304</v>
      </c>
      <c r="B34" s="16" t="s">
        <v>305</v>
      </c>
      <c r="C34" s="7" t="s">
        <v>129</v>
      </c>
      <c r="D34" s="7" t="s">
        <v>130</v>
      </c>
      <c r="E34" s="7" t="s">
        <v>91</v>
      </c>
      <c r="F34" s="7" t="s">
        <v>92</v>
      </c>
      <c r="G34" s="7" t="s">
        <v>306</v>
      </c>
      <c r="H34" s="17">
        <v>208.388443</v>
      </c>
      <c r="I34" s="17">
        <v>50.731869</v>
      </c>
      <c r="J34" s="17">
        <v>50.731869</v>
      </c>
      <c r="K34" s="18">
        <v>0.243449</v>
      </c>
      <c r="L34" s="17">
        <v>0</v>
      </c>
      <c r="M34" s="18">
        <v>0</v>
      </c>
      <c r="N34" s="7" t="s">
        <v>41</v>
      </c>
      <c r="O34" s="7" t="s">
        <v>307</v>
      </c>
      <c r="P34" s="7" t="s">
        <v>308</v>
      </c>
      <c r="Q34" s="7" t="s">
        <v>309</v>
      </c>
      <c r="R34" s="7" t="s">
        <v>45</v>
      </c>
      <c r="S34" s="7" t="s">
        <v>45</v>
      </c>
      <c r="T34" s="7" t="s">
        <v>46</v>
      </c>
      <c r="U34" s="7" t="s">
        <v>130</v>
      </c>
      <c r="V34" s="7" t="s">
        <v>130</v>
      </c>
      <c r="W34" s="7" t="s">
        <v>130</v>
      </c>
      <c r="X34" s="7" t="s">
        <v>48</v>
      </c>
      <c r="Y34" s="7" t="s">
        <v>134</v>
      </c>
      <c r="Z34" s="7" t="s">
        <v>134</v>
      </c>
      <c r="AA34" s="7" t="s">
        <v>135</v>
      </c>
      <c r="AB34" s="7" t="s">
        <v>310</v>
      </c>
      <c r="AC34" s="7" t="s">
        <v>51</v>
      </c>
      <c r="AD34" s="7" t="s">
        <v>52</v>
      </c>
      <c r="AE34" s="7" t="s">
        <v>311</v>
      </c>
      <c r="AF34" s="7" t="s">
        <v>41</v>
      </c>
      <c r="AG34" s="7" t="s">
        <v>312</v>
      </c>
    </row>
    <row r="35" ht="28.5" spans="1:33">
      <c r="A35" s="7" t="s">
        <v>313</v>
      </c>
      <c r="B35" s="16" t="s">
        <v>314</v>
      </c>
      <c r="C35" s="7" t="s">
        <v>129</v>
      </c>
      <c r="D35" s="7" t="s">
        <v>158</v>
      </c>
      <c r="E35" s="7" t="s">
        <v>91</v>
      </c>
      <c r="F35" s="7" t="s">
        <v>121</v>
      </c>
      <c r="G35" s="7" t="s">
        <v>315</v>
      </c>
      <c r="H35" s="17">
        <v>186.437927</v>
      </c>
      <c r="I35" s="17">
        <v>28.359001</v>
      </c>
      <c r="J35" s="17">
        <v>28.359001</v>
      </c>
      <c r="K35" s="18">
        <v>0.15211</v>
      </c>
      <c r="L35" s="17">
        <v>0</v>
      </c>
      <c r="M35" s="18">
        <v>0</v>
      </c>
      <c r="N35" s="7" t="s">
        <v>41</v>
      </c>
      <c r="O35" s="7" t="s">
        <v>316</v>
      </c>
      <c r="P35" s="7" t="s">
        <v>317</v>
      </c>
      <c r="Q35" s="7" t="s">
        <v>318</v>
      </c>
      <c r="R35" s="7" t="s">
        <v>45</v>
      </c>
      <c r="S35" s="7" t="s">
        <v>45</v>
      </c>
      <c r="T35" s="7" t="s">
        <v>46</v>
      </c>
      <c r="U35" s="7" t="s">
        <v>158</v>
      </c>
      <c r="V35" s="7" t="s">
        <v>158</v>
      </c>
      <c r="W35" s="7" t="s">
        <v>158</v>
      </c>
      <c r="X35" s="7" t="s">
        <v>48</v>
      </c>
      <c r="Y35" s="7" t="s">
        <v>134</v>
      </c>
      <c r="Z35" s="7" t="s">
        <v>134</v>
      </c>
      <c r="AA35" s="7" t="s">
        <v>162</v>
      </c>
      <c r="AB35" s="7" t="s">
        <v>319</v>
      </c>
      <c r="AC35" s="7" t="s">
        <v>51</v>
      </c>
      <c r="AD35" s="7" t="s">
        <v>52</v>
      </c>
      <c r="AE35" s="7" t="s">
        <v>320</v>
      </c>
      <c r="AF35" s="7" t="s">
        <v>41</v>
      </c>
      <c r="AG35" s="7" t="s">
        <v>321</v>
      </c>
    </row>
    <row r="36" ht="42.75" spans="1:33">
      <c r="A36" s="7" t="s">
        <v>322</v>
      </c>
      <c r="B36" s="16" t="s">
        <v>323</v>
      </c>
      <c r="C36" s="7" t="s">
        <v>57</v>
      </c>
      <c r="D36" s="7" t="s">
        <v>58</v>
      </c>
      <c r="E36" s="7" t="s">
        <v>91</v>
      </c>
      <c r="F36" s="7" t="s">
        <v>265</v>
      </c>
      <c r="G36" s="7" t="s">
        <v>324</v>
      </c>
      <c r="H36" s="17">
        <v>316.990662</v>
      </c>
      <c r="I36" s="17">
        <v>62.591194</v>
      </c>
      <c r="J36" s="17">
        <v>61.140259</v>
      </c>
      <c r="K36" s="18">
        <v>0.197454</v>
      </c>
      <c r="L36" s="17">
        <v>1.450935</v>
      </c>
      <c r="M36" s="18">
        <v>0.023181</v>
      </c>
      <c r="N36" s="7" t="s">
        <v>41</v>
      </c>
      <c r="O36" s="7" t="s">
        <v>325</v>
      </c>
      <c r="P36" s="7" t="s">
        <v>326</v>
      </c>
      <c r="Q36" s="7" t="s">
        <v>327</v>
      </c>
      <c r="R36" s="7" t="s">
        <v>45</v>
      </c>
      <c r="S36" s="7" t="s">
        <v>45</v>
      </c>
      <c r="T36" s="7" t="s">
        <v>46</v>
      </c>
      <c r="U36" s="7" t="s">
        <v>58</v>
      </c>
      <c r="V36" s="7" t="s">
        <v>58</v>
      </c>
      <c r="W36" s="7" t="s">
        <v>58</v>
      </c>
      <c r="X36" s="7" t="s">
        <v>48</v>
      </c>
      <c r="Y36" s="7" t="s">
        <v>48</v>
      </c>
      <c r="Z36" s="7" t="s">
        <v>48</v>
      </c>
      <c r="AA36" s="7" t="s">
        <v>62</v>
      </c>
      <c r="AB36" s="7" t="s">
        <v>328</v>
      </c>
      <c r="AC36" s="7" t="s">
        <v>51</v>
      </c>
      <c r="AD36" s="7" t="s">
        <v>52</v>
      </c>
      <c r="AE36" s="7" t="s">
        <v>329</v>
      </c>
      <c r="AF36" s="7" t="s">
        <v>75</v>
      </c>
      <c r="AG36" s="7" t="s">
        <v>330</v>
      </c>
    </row>
    <row r="37" ht="42.75" spans="1:33">
      <c r="A37" s="7" t="s">
        <v>331</v>
      </c>
      <c r="B37" s="16" t="s">
        <v>332</v>
      </c>
      <c r="C37" s="7" t="s">
        <v>129</v>
      </c>
      <c r="D37" s="7" t="s">
        <v>130</v>
      </c>
      <c r="E37" s="7" t="s">
        <v>91</v>
      </c>
      <c r="F37" s="7" t="s">
        <v>265</v>
      </c>
      <c r="G37" s="7" t="s">
        <v>333</v>
      </c>
      <c r="H37" s="17">
        <v>258.271606</v>
      </c>
      <c r="I37" s="17">
        <v>45.73259</v>
      </c>
      <c r="J37" s="17">
        <v>15.455961</v>
      </c>
      <c r="K37" s="18">
        <v>0.177072</v>
      </c>
      <c r="L37" s="17">
        <v>30.276628</v>
      </c>
      <c r="M37" s="18">
        <v>0.662036</v>
      </c>
      <c r="N37" s="7" t="s">
        <v>41</v>
      </c>
      <c r="O37" s="7" t="s">
        <v>334</v>
      </c>
      <c r="P37" s="7" t="s">
        <v>335</v>
      </c>
      <c r="Q37" s="7" t="s">
        <v>336</v>
      </c>
      <c r="R37" s="7" t="s">
        <v>45</v>
      </c>
      <c r="S37" s="7" t="s">
        <v>45</v>
      </c>
      <c r="T37" s="7" t="s">
        <v>46</v>
      </c>
      <c r="U37" s="7" t="s">
        <v>130</v>
      </c>
      <c r="V37" s="7" t="s">
        <v>130</v>
      </c>
      <c r="W37" s="7" t="s">
        <v>130</v>
      </c>
      <c r="X37" s="7" t="s">
        <v>48</v>
      </c>
      <c r="Y37" s="7" t="s">
        <v>134</v>
      </c>
      <c r="Z37" s="7" t="s">
        <v>134</v>
      </c>
      <c r="AA37" s="7" t="s">
        <v>135</v>
      </c>
      <c r="AB37" s="7" t="s">
        <v>337</v>
      </c>
      <c r="AC37" s="7" t="s">
        <v>51</v>
      </c>
      <c r="AD37" s="7" t="s">
        <v>52</v>
      </c>
      <c r="AE37" s="7" t="s">
        <v>117</v>
      </c>
      <c r="AF37" s="7" t="s">
        <v>41</v>
      </c>
      <c r="AG37" s="7" t="s">
        <v>338</v>
      </c>
    </row>
    <row r="38" ht="42.75" spans="1:33">
      <c r="A38" s="7" t="s">
        <v>339</v>
      </c>
      <c r="B38" s="16" t="s">
        <v>332</v>
      </c>
      <c r="C38" s="7" t="s">
        <v>129</v>
      </c>
      <c r="D38" s="7" t="s">
        <v>130</v>
      </c>
      <c r="E38" s="7" t="s">
        <v>91</v>
      </c>
      <c r="F38" s="7" t="s">
        <v>265</v>
      </c>
      <c r="G38" s="7" t="s">
        <v>333</v>
      </c>
      <c r="H38" s="17">
        <v>258.271606</v>
      </c>
      <c r="I38" s="17">
        <v>45.73259</v>
      </c>
      <c r="J38" s="17">
        <v>15.455961</v>
      </c>
      <c r="K38" s="18">
        <v>0.177072</v>
      </c>
      <c r="L38" s="17">
        <v>30.276628</v>
      </c>
      <c r="M38" s="18">
        <v>0.662036</v>
      </c>
      <c r="N38" s="7" t="s">
        <v>41</v>
      </c>
      <c r="O38" s="7" t="s">
        <v>340</v>
      </c>
      <c r="P38" s="7" t="s">
        <v>341</v>
      </c>
      <c r="Q38" s="7" t="s">
        <v>342</v>
      </c>
      <c r="R38" s="7" t="s">
        <v>45</v>
      </c>
      <c r="S38" s="7" t="s">
        <v>45</v>
      </c>
      <c r="T38" s="7" t="s">
        <v>46</v>
      </c>
      <c r="U38" s="7" t="s">
        <v>130</v>
      </c>
      <c r="V38" s="7" t="s">
        <v>130</v>
      </c>
      <c r="W38" s="7" t="s">
        <v>130</v>
      </c>
      <c r="X38" s="7" t="s">
        <v>48</v>
      </c>
      <c r="Y38" s="7" t="s">
        <v>134</v>
      </c>
      <c r="Z38" s="7" t="s">
        <v>134</v>
      </c>
      <c r="AA38" s="7" t="s">
        <v>135</v>
      </c>
      <c r="AB38" s="7" t="s">
        <v>343</v>
      </c>
      <c r="AC38" s="7" t="s">
        <v>51</v>
      </c>
      <c r="AD38" s="7" t="s">
        <v>52</v>
      </c>
      <c r="AE38" s="7" t="s">
        <v>344</v>
      </c>
      <c r="AF38" s="7" t="s">
        <v>41</v>
      </c>
      <c r="AG38" s="7" t="s">
        <v>345</v>
      </c>
    </row>
    <row r="39" ht="42.75" spans="1:33">
      <c r="A39" s="7" t="s">
        <v>346</v>
      </c>
      <c r="B39" s="16" t="s">
        <v>332</v>
      </c>
      <c r="C39" s="7" t="s">
        <v>129</v>
      </c>
      <c r="D39" s="7" t="s">
        <v>130</v>
      </c>
      <c r="E39" s="7" t="s">
        <v>91</v>
      </c>
      <c r="F39" s="7" t="s">
        <v>265</v>
      </c>
      <c r="G39" s="7" t="s">
        <v>333</v>
      </c>
      <c r="H39" s="17">
        <v>258.271606</v>
      </c>
      <c r="I39" s="17">
        <v>45.73259</v>
      </c>
      <c r="J39" s="17">
        <v>15.455961</v>
      </c>
      <c r="K39" s="18">
        <v>0.177072</v>
      </c>
      <c r="L39" s="17">
        <v>30.276628</v>
      </c>
      <c r="M39" s="18">
        <v>0.662036</v>
      </c>
      <c r="N39" s="7" t="s">
        <v>41</v>
      </c>
      <c r="O39" s="7" t="s">
        <v>347</v>
      </c>
      <c r="P39" s="7" t="s">
        <v>348</v>
      </c>
      <c r="Q39" s="7" t="s">
        <v>349</v>
      </c>
      <c r="R39" s="7" t="s">
        <v>45</v>
      </c>
      <c r="S39" s="7" t="s">
        <v>45</v>
      </c>
      <c r="T39" s="7" t="s">
        <v>46</v>
      </c>
      <c r="U39" s="7" t="s">
        <v>130</v>
      </c>
      <c r="V39" s="7" t="s">
        <v>130</v>
      </c>
      <c r="W39" s="7" t="s">
        <v>130</v>
      </c>
      <c r="X39" s="7" t="s">
        <v>48</v>
      </c>
      <c r="Y39" s="7" t="s">
        <v>134</v>
      </c>
      <c r="Z39" s="7" t="s">
        <v>134</v>
      </c>
      <c r="AA39" s="7" t="s">
        <v>135</v>
      </c>
      <c r="AB39" s="7" t="s">
        <v>350</v>
      </c>
      <c r="AC39" s="7" t="s">
        <v>51</v>
      </c>
      <c r="AD39" s="7" t="s">
        <v>52</v>
      </c>
      <c r="AE39" s="7" t="s">
        <v>351</v>
      </c>
      <c r="AF39" s="7" t="s">
        <v>41</v>
      </c>
      <c r="AG39" s="7" t="s">
        <v>352</v>
      </c>
    </row>
    <row r="40" ht="42.75" spans="1:33">
      <c r="A40" s="7" t="s">
        <v>353</v>
      </c>
      <c r="B40" s="16" t="s">
        <v>354</v>
      </c>
      <c r="C40" s="7" t="s">
        <v>57</v>
      </c>
      <c r="D40" s="7" t="s">
        <v>58</v>
      </c>
      <c r="E40" s="7" t="s">
        <v>91</v>
      </c>
      <c r="F40" s="7" t="s">
        <v>121</v>
      </c>
      <c r="G40" s="7" t="s">
        <v>355</v>
      </c>
      <c r="H40" s="17">
        <v>250.581665</v>
      </c>
      <c r="I40" s="17">
        <v>14.268061</v>
      </c>
      <c r="J40" s="17">
        <v>14.268061</v>
      </c>
      <c r="K40" s="18">
        <v>0.05694</v>
      </c>
      <c r="L40" s="17">
        <v>0</v>
      </c>
      <c r="M40" s="18">
        <v>0</v>
      </c>
      <c r="N40" s="7" t="s">
        <v>41</v>
      </c>
      <c r="O40" s="7" t="s">
        <v>356</v>
      </c>
      <c r="P40" s="7" t="s">
        <v>357</v>
      </c>
      <c r="Q40" s="7" t="s">
        <v>358</v>
      </c>
      <c r="R40" s="7" t="s">
        <v>45</v>
      </c>
      <c r="S40" s="7" t="s">
        <v>45</v>
      </c>
      <c r="T40" s="7" t="s">
        <v>46</v>
      </c>
      <c r="U40" s="7" t="s">
        <v>58</v>
      </c>
      <c r="V40" s="7" t="s">
        <v>58</v>
      </c>
      <c r="W40" s="7" t="s">
        <v>58</v>
      </c>
      <c r="X40" s="7" t="s">
        <v>48</v>
      </c>
      <c r="Y40" s="7" t="s">
        <v>48</v>
      </c>
      <c r="Z40" s="7" t="s">
        <v>48</v>
      </c>
      <c r="AA40" s="7" t="s">
        <v>62</v>
      </c>
      <c r="AB40" s="7" t="s">
        <v>359</v>
      </c>
      <c r="AC40" s="7" t="s">
        <v>51</v>
      </c>
      <c r="AD40" s="7" t="s">
        <v>52</v>
      </c>
      <c r="AE40" s="7" t="s">
        <v>329</v>
      </c>
      <c r="AF40" s="7" t="s">
        <v>41</v>
      </c>
      <c r="AG40" s="7" t="s">
        <v>360</v>
      </c>
    </row>
    <row r="41" ht="28.5" spans="1:33">
      <c r="A41" s="7" t="s">
        <v>361</v>
      </c>
      <c r="B41" s="16" t="s">
        <v>354</v>
      </c>
      <c r="C41" s="7" t="s">
        <v>129</v>
      </c>
      <c r="D41" s="7" t="s">
        <v>158</v>
      </c>
      <c r="E41" s="7" t="s">
        <v>91</v>
      </c>
      <c r="F41" s="7" t="s">
        <v>121</v>
      </c>
      <c r="G41" s="7" t="s">
        <v>355</v>
      </c>
      <c r="H41" s="17">
        <v>250.581665</v>
      </c>
      <c r="I41" s="17">
        <v>14.268061</v>
      </c>
      <c r="J41" s="17">
        <v>14.268061</v>
      </c>
      <c r="K41" s="18">
        <v>0.05694</v>
      </c>
      <c r="L41" s="17">
        <v>0</v>
      </c>
      <c r="M41" s="18">
        <v>0</v>
      </c>
      <c r="N41" s="7" t="s">
        <v>41</v>
      </c>
      <c r="O41" s="7" t="s">
        <v>362</v>
      </c>
      <c r="P41" s="7" t="s">
        <v>363</v>
      </c>
      <c r="Q41" s="7" t="s">
        <v>364</v>
      </c>
      <c r="R41" s="7" t="s">
        <v>45</v>
      </c>
      <c r="S41" s="7" t="s">
        <v>45</v>
      </c>
      <c r="T41" s="7" t="s">
        <v>46</v>
      </c>
      <c r="U41" s="7" t="s">
        <v>158</v>
      </c>
      <c r="V41" s="7" t="s">
        <v>158</v>
      </c>
      <c r="W41" s="7" t="s">
        <v>158</v>
      </c>
      <c r="X41" s="7" t="s">
        <v>48</v>
      </c>
      <c r="Y41" s="7" t="s">
        <v>134</v>
      </c>
      <c r="Z41" s="7" t="s">
        <v>134</v>
      </c>
      <c r="AA41" s="7" t="s">
        <v>162</v>
      </c>
      <c r="AB41" s="7" t="s">
        <v>365</v>
      </c>
      <c r="AC41" s="7" t="s">
        <v>51</v>
      </c>
      <c r="AD41" s="7" t="s">
        <v>64</v>
      </c>
      <c r="AE41" s="7" t="s">
        <v>366</v>
      </c>
      <c r="AF41" s="7" t="s">
        <v>66</v>
      </c>
      <c r="AG41" s="7" t="s">
        <v>367</v>
      </c>
    </row>
    <row r="42" ht="28.5" spans="1:33">
      <c r="A42" s="7" t="s">
        <v>368</v>
      </c>
      <c r="B42" s="16" t="s">
        <v>369</v>
      </c>
      <c r="C42" s="7" t="s">
        <v>129</v>
      </c>
      <c r="D42" s="7" t="s">
        <v>158</v>
      </c>
      <c r="E42" s="7" t="s">
        <v>91</v>
      </c>
      <c r="F42" s="7" t="s">
        <v>121</v>
      </c>
      <c r="G42" s="7" t="s">
        <v>370</v>
      </c>
      <c r="H42" s="17">
        <v>276.643677</v>
      </c>
      <c r="I42" s="17">
        <v>0.125795</v>
      </c>
      <c r="J42" s="17">
        <v>0.125795</v>
      </c>
      <c r="K42" s="18">
        <v>0.000455</v>
      </c>
      <c r="L42" s="17">
        <v>0</v>
      </c>
      <c r="M42" s="18">
        <v>0</v>
      </c>
      <c r="N42" s="7" t="s">
        <v>75</v>
      </c>
      <c r="O42" s="7" t="s">
        <v>371</v>
      </c>
      <c r="P42" s="7" t="s">
        <v>372</v>
      </c>
      <c r="Q42" s="7" t="s">
        <v>373</v>
      </c>
      <c r="R42" s="7" t="s">
        <v>45</v>
      </c>
      <c r="S42" s="7" t="s">
        <v>45</v>
      </c>
      <c r="T42" s="7" t="s">
        <v>46</v>
      </c>
      <c r="U42" s="7" t="s">
        <v>158</v>
      </c>
      <c r="V42" s="7" t="s">
        <v>158</v>
      </c>
      <c r="W42" s="7" t="s">
        <v>158</v>
      </c>
      <c r="X42" s="7" t="s">
        <v>48</v>
      </c>
      <c r="Y42" s="7" t="s">
        <v>134</v>
      </c>
      <c r="Z42" s="7" t="s">
        <v>134</v>
      </c>
      <c r="AA42" s="7" t="s">
        <v>162</v>
      </c>
      <c r="AB42" s="7" t="s">
        <v>374</v>
      </c>
      <c r="AC42" s="7" t="s">
        <v>51</v>
      </c>
      <c r="AD42" s="7" t="s">
        <v>64</v>
      </c>
      <c r="AE42" s="7" t="s">
        <v>375</v>
      </c>
      <c r="AF42" s="7" t="s">
        <v>66</v>
      </c>
      <c r="AG42" s="7" t="s">
        <v>376</v>
      </c>
    </row>
    <row r="43" ht="42.75" spans="1:33">
      <c r="A43" s="7" t="s">
        <v>377</v>
      </c>
      <c r="B43" s="16" t="s">
        <v>369</v>
      </c>
      <c r="C43" s="7" t="s">
        <v>129</v>
      </c>
      <c r="D43" s="7" t="s">
        <v>130</v>
      </c>
      <c r="E43" s="7" t="s">
        <v>91</v>
      </c>
      <c r="F43" s="7" t="s">
        <v>121</v>
      </c>
      <c r="G43" s="7" t="s">
        <v>370</v>
      </c>
      <c r="H43" s="17">
        <v>276.643677</v>
      </c>
      <c r="I43" s="17">
        <v>0.125795</v>
      </c>
      <c r="J43" s="17">
        <v>0.125795</v>
      </c>
      <c r="K43" s="18">
        <v>0.000455</v>
      </c>
      <c r="L43" s="17">
        <v>0</v>
      </c>
      <c r="M43" s="18">
        <v>0</v>
      </c>
      <c r="N43" s="7" t="s">
        <v>41</v>
      </c>
      <c r="O43" s="7" t="s">
        <v>378</v>
      </c>
      <c r="P43" s="7" t="s">
        <v>379</v>
      </c>
      <c r="Q43" s="7" t="s">
        <v>380</v>
      </c>
      <c r="R43" s="7" t="s">
        <v>45</v>
      </c>
      <c r="S43" s="7" t="s">
        <v>45</v>
      </c>
      <c r="T43" s="7" t="s">
        <v>46</v>
      </c>
      <c r="U43" s="7" t="s">
        <v>130</v>
      </c>
      <c r="V43" s="7" t="s">
        <v>130</v>
      </c>
      <c r="W43" s="7" t="s">
        <v>130</v>
      </c>
      <c r="X43" s="7" t="s">
        <v>48</v>
      </c>
      <c r="Y43" s="7" t="s">
        <v>134</v>
      </c>
      <c r="Z43" s="7" t="s">
        <v>134</v>
      </c>
      <c r="AA43" s="7" t="s">
        <v>135</v>
      </c>
      <c r="AB43" s="7" t="s">
        <v>381</v>
      </c>
      <c r="AC43" s="7" t="s">
        <v>51</v>
      </c>
      <c r="AD43" s="7" t="s">
        <v>52</v>
      </c>
      <c r="AE43" s="7" t="s">
        <v>320</v>
      </c>
      <c r="AF43" s="7" t="s">
        <v>41</v>
      </c>
      <c r="AG43" s="7" t="s">
        <v>382</v>
      </c>
    </row>
    <row r="44" ht="42.75" spans="1:33">
      <c r="A44" s="7" t="s">
        <v>383</v>
      </c>
      <c r="B44" s="16" t="s">
        <v>384</v>
      </c>
      <c r="C44" s="7" t="s">
        <v>129</v>
      </c>
      <c r="D44" s="7" t="s">
        <v>130</v>
      </c>
      <c r="E44" s="7" t="s">
        <v>91</v>
      </c>
      <c r="F44" s="7" t="s">
        <v>121</v>
      </c>
      <c r="G44" s="7" t="s">
        <v>385</v>
      </c>
      <c r="H44" s="17">
        <v>259.808533</v>
      </c>
      <c r="I44" s="17">
        <v>10.944727</v>
      </c>
      <c r="J44" s="17">
        <v>10.944727</v>
      </c>
      <c r="K44" s="18">
        <v>0.042126</v>
      </c>
      <c r="L44" s="17">
        <v>0</v>
      </c>
      <c r="M44" s="18">
        <v>0</v>
      </c>
      <c r="N44" s="7" t="s">
        <v>41</v>
      </c>
      <c r="O44" s="7" t="s">
        <v>386</v>
      </c>
      <c r="P44" s="7" t="s">
        <v>387</v>
      </c>
      <c r="Q44" s="7" t="s">
        <v>388</v>
      </c>
      <c r="R44" s="7" t="s">
        <v>45</v>
      </c>
      <c r="S44" s="7" t="s">
        <v>45</v>
      </c>
      <c r="T44" s="7" t="s">
        <v>46</v>
      </c>
      <c r="U44" s="7" t="s">
        <v>130</v>
      </c>
      <c r="V44" s="7" t="s">
        <v>130</v>
      </c>
      <c r="W44" s="7" t="s">
        <v>130</v>
      </c>
      <c r="X44" s="7" t="s">
        <v>48</v>
      </c>
      <c r="Y44" s="7" t="s">
        <v>134</v>
      </c>
      <c r="Z44" s="7" t="s">
        <v>134</v>
      </c>
      <c r="AA44" s="7" t="s">
        <v>135</v>
      </c>
      <c r="AB44" s="7" t="s">
        <v>389</v>
      </c>
      <c r="AC44" s="7" t="s">
        <v>51</v>
      </c>
      <c r="AD44" s="7" t="s">
        <v>52</v>
      </c>
      <c r="AE44" s="7" t="s">
        <v>204</v>
      </c>
      <c r="AF44" s="7" t="s">
        <v>41</v>
      </c>
      <c r="AG44" s="7" t="s">
        <v>390</v>
      </c>
    </row>
    <row r="45" ht="42.75" spans="1:33">
      <c r="A45" s="7" t="s">
        <v>391</v>
      </c>
      <c r="B45" s="16" t="s">
        <v>384</v>
      </c>
      <c r="C45" s="7" t="s">
        <v>57</v>
      </c>
      <c r="D45" s="7" t="s">
        <v>58</v>
      </c>
      <c r="E45" s="7" t="s">
        <v>91</v>
      </c>
      <c r="F45" s="7" t="s">
        <v>121</v>
      </c>
      <c r="G45" s="7" t="s">
        <v>385</v>
      </c>
      <c r="H45" s="17">
        <v>259.808533</v>
      </c>
      <c r="I45" s="17">
        <v>10.944727</v>
      </c>
      <c r="J45" s="17">
        <v>10.944727</v>
      </c>
      <c r="K45" s="18">
        <v>0.042126</v>
      </c>
      <c r="L45" s="17">
        <v>0</v>
      </c>
      <c r="M45" s="18">
        <v>0</v>
      </c>
      <c r="N45" s="7" t="s">
        <v>41</v>
      </c>
      <c r="O45" s="7" t="s">
        <v>392</v>
      </c>
      <c r="P45" s="7" t="s">
        <v>393</v>
      </c>
      <c r="Q45" s="7" t="s">
        <v>394</v>
      </c>
      <c r="R45" s="7" t="s">
        <v>45</v>
      </c>
      <c r="S45" s="7" t="s">
        <v>45</v>
      </c>
      <c r="T45" s="7" t="s">
        <v>46</v>
      </c>
      <c r="U45" s="7" t="s">
        <v>58</v>
      </c>
      <c r="V45" s="7" t="s">
        <v>58</v>
      </c>
      <c r="W45" s="7" t="s">
        <v>58</v>
      </c>
      <c r="X45" s="7" t="s">
        <v>48</v>
      </c>
      <c r="Y45" s="7" t="s">
        <v>48</v>
      </c>
      <c r="Z45" s="7" t="s">
        <v>48</v>
      </c>
      <c r="AA45" s="7" t="s">
        <v>62</v>
      </c>
      <c r="AB45" s="7" t="s">
        <v>395</v>
      </c>
      <c r="AC45" s="7" t="s">
        <v>51</v>
      </c>
      <c r="AD45" s="7" t="s">
        <v>52</v>
      </c>
      <c r="AE45" s="7" t="s">
        <v>396</v>
      </c>
      <c r="AF45" s="7" t="s">
        <v>41</v>
      </c>
      <c r="AG45" s="7" t="s">
        <v>397</v>
      </c>
    </row>
    <row r="46" ht="28.5" spans="1:33">
      <c r="A46" s="7" t="s">
        <v>398</v>
      </c>
      <c r="B46" s="16" t="s">
        <v>399</v>
      </c>
      <c r="C46" s="7" t="s">
        <v>129</v>
      </c>
      <c r="D46" s="7" t="s">
        <v>158</v>
      </c>
      <c r="E46" s="7" t="s">
        <v>91</v>
      </c>
      <c r="F46" s="7" t="s">
        <v>92</v>
      </c>
      <c r="G46" s="7" t="s">
        <v>400</v>
      </c>
      <c r="H46" s="17">
        <v>238.954315</v>
      </c>
      <c r="I46" s="17">
        <v>83.846489</v>
      </c>
      <c r="J46" s="17">
        <v>83.846489</v>
      </c>
      <c r="K46" s="18">
        <v>0.350889</v>
      </c>
      <c r="L46" s="17">
        <v>0</v>
      </c>
      <c r="M46" s="18">
        <v>0</v>
      </c>
      <c r="N46" s="7" t="s">
        <v>41</v>
      </c>
      <c r="O46" s="7" t="s">
        <v>401</v>
      </c>
      <c r="P46" s="7" t="s">
        <v>402</v>
      </c>
      <c r="Q46" s="7" t="s">
        <v>403</v>
      </c>
      <c r="R46" s="7" t="s">
        <v>45</v>
      </c>
      <c r="S46" s="7" t="s">
        <v>45</v>
      </c>
      <c r="T46" s="7" t="s">
        <v>46</v>
      </c>
      <c r="U46" s="7" t="s">
        <v>158</v>
      </c>
      <c r="V46" s="7" t="s">
        <v>158</v>
      </c>
      <c r="W46" s="7" t="s">
        <v>158</v>
      </c>
      <c r="X46" s="7" t="s">
        <v>48</v>
      </c>
      <c r="Y46" s="7" t="s">
        <v>134</v>
      </c>
      <c r="Z46" s="7" t="s">
        <v>134</v>
      </c>
      <c r="AA46" s="7" t="s">
        <v>162</v>
      </c>
      <c r="AB46" s="7" t="s">
        <v>404</v>
      </c>
      <c r="AC46" s="7" t="s">
        <v>51</v>
      </c>
      <c r="AD46" s="7" t="s">
        <v>64</v>
      </c>
      <c r="AE46" s="7" t="s">
        <v>366</v>
      </c>
      <c r="AF46" s="7" t="s">
        <v>165</v>
      </c>
      <c r="AG46" s="7" t="s">
        <v>405</v>
      </c>
    </row>
    <row r="47" ht="42.75" spans="1:33">
      <c r="A47" s="7" t="s">
        <v>406</v>
      </c>
      <c r="B47" s="16" t="s">
        <v>407</v>
      </c>
      <c r="C47" s="7" t="s">
        <v>129</v>
      </c>
      <c r="D47" s="7" t="s">
        <v>130</v>
      </c>
      <c r="E47" s="7" t="s">
        <v>91</v>
      </c>
      <c r="F47" s="7" t="s">
        <v>92</v>
      </c>
      <c r="G47" s="7" t="s">
        <v>408</v>
      </c>
      <c r="H47" s="17">
        <v>283.395416</v>
      </c>
      <c r="I47" s="17">
        <v>148.66449</v>
      </c>
      <c r="J47" s="17">
        <v>148.66449</v>
      </c>
      <c r="K47" s="18">
        <v>0.524583</v>
      </c>
      <c r="L47" s="17">
        <v>0</v>
      </c>
      <c r="M47" s="18">
        <v>0</v>
      </c>
      <c r="N47" s="7" t="s">
        <v>41</v>
      </c>
      <c r="O47" s="7" t="s">
        <v>409</v>
      </c>
      <c r="P47" s="7" t="s">
        <v>410</v>
      </c>
      <c r="Q47" s="7" t="s">
        <v>411</v>
      </c>
      <c r="R47" s="7" t="s">
        <v>45</v>
      </c>
      <c r="S47" s="7" t="s">
        <v>45</v>
      </c>
      <c r="T47" s="7" t="s">
        <v>46</v>
      </c>
      <c r="U47" s="7" t="s">
        <v>130</v>
      </c>
      <c r="V47" s="7" t="s">
        <v>227</v>
      </c>
      <c r="W47" s="7" t="s">
        <v>130</v>
      </c>
      <c r="X47" s="7" t="s">
        <v>48</v>
      </c>
      <c r="Y47" s="7" t="s">
        <v>134</v>
      </c>
      <c r="Z47" s="7" t="s">
        <v>134</v>
      </c>
      <c r="AA47" s="7" t="s">
        <v>135</v>
      </c>
      <c r="AB47" s="7" t="s">
        <v>412</v>
      </c>
      <c r="AC47" s="7" t="s">
        <v>51</v>
      </c>
      <c r="AD47" s="7" t="s">
        <v>52</v>
      </c>
      <c r="AE47" s="7" t="s">
        <v>329</v>
      </c>
      <c r="AF47" s="7" t="s">
        <v>75</v>
      </c>
      <c r="AG47" s="7" t="s">
        <v>413</v>
      </c>
    </row>
    <row r="48" ht="42.75" spans="1:33">
      <c r="A48" s="7" t="s">
        <v>414</v>
      </c>
      <c r="B48" s="16" t="s">
        <v>415</v>
      </c>
      <c r="C48" s="7" t="s">
        <v>129</v>
      </c>
      <c r="D48" s="7" t="s">
        <v>130</v>
      </c>
      <c r="E48" s="7" t="s">
        <v>91</v>
      </c>
      <c r="F48" s="7" t="s">
        <v>265</v>
      </c>
      <c r="G48" s="7" t="s">
        <v>416</v>
      </c>
      <c r="H48" s="17">
        <v>189.081467</v>
      </c>
      <c r="I48" s="17">
        <v>57.074245</v>
      </c>
      <c r="J48" s="17">
        <v>47.252537</v>
      </c>
      <c r="K48" s="18">
        <v>0.30185</v>
      </c>
      <c r="L48" s="17">
        <v>9.821709</v>
      </c>
      <c r="M48" s="18">
        <v>0.172087</v>
      </c>
      <c r="N48" s="7" t="s">
        <v>41</v>
      </c>
      <c r="O48" s="7" t="s">
        <v>417</v>
      </c>
      <c r="P48" s="7" t="s">
        <v>418</v>
      </c>
      <c r="Q48" s="7" t="s">
        <v>419</v>
      </c>
      <c r="R48" s="7" t="s">
        <v>45</v>
      </c>
      <c r="S48" s="7" t="s">
        <v>45</v>
      </c>
      <c r="T48" s="7" t="s">
        <v>46</v>
      </c>
      <c r="U48" s="7" t="s">
        <v>130</v>
      </c>
      <c r="V48" s="7" t="s">
        <v>130</v>
      </c>
      <c r="W48" s="7" t="s">
        <v>130</v>
      </c>
      <c r="X48" s="7" t="s">
        <v>48</v>
      </c>
      <c r="Y48" s="7" t="s">
        <v>134</v>
      </c>
      <c r="Z48" s="7" t="s">
        <v>134</v>
      </c>
      <c r="AA48" s="7" t="s">
        <v>135</v>
      </c>
      <c r="AB48" s="7" t="s">
        <v>420</v>
      </c>
      <c r="AC48" s="7" t="s">
        <v>51</v>
      </c>
      <c r="AD48" s="7" t="s">
        <v>52</v>
      </c>
      <c r="AE48" s="7" t="s">
        <v>421</v>
      </c>
      <c r="AF48" s="7" t="s">
        <v>75</v>
      </c>
      <c r="AG48" s="7" t="s">
        <v>422</v>
      </c>
    </row>
    <row r="49" ht="28.5" spans="1:33">
      <c r="A49" s="7" t="s">
        <v>423</v>
      </c>
      <c r="B49" s="16" t="s">
        <v>424</v>
      </c>
      <c r="C49" s="7" t="s">
        <v>37</v>
      </c>
      <c r="D49" s="7" t="s">
        <v>79</v>
      </c>
      <c r="E49" s="7" t="s">
        <v>91</v>
      </c>
      <c r="F49" s="7" t="s">
        <v>265</v>
      </c>
      <c r="G49" s="7" t="s">
        <v>425</v>
      </c>
      <c r="H49" s="17">
        <v>306.580475</v>
      </c>
      <c r="I49" s="17">
        <v>103.159096</v>
      </c>
      <c r="J49" s="17">
        <v>87.85054</v>
      </c>
      <c r="K49" s="18">
        <v>0.336483</v>
      </c>
      <c r="L49" s="17">
        <v>15.308556</v>
      </c>
      <c r="M49" s="18">
        <v>0.148398</v>
      </c>
      <c r="N49" s="7" t="s">
        <v>41</v>
      </c>
      <c r="O49" s="7" t="s">
        <v>426</v>
      </c>
      <c r="P49" s="7" t="s">
        <v>427</v>
      </c>
      <c r="Q49" s="7" t="s">
        <v>428</v>
      </c>
      <c r="R49" s="7" t="s">
        <v>45</v>
      </c>
      <c r="S49" s="7" t="s">
        <v>45</v>
      </c>
      <c r="T49" s="7" t="s">
        <v>46</v>
      </c>
      <c r="U49" s="7" t="s">
        <v>79</v>
      </c>
      <c r="V49" s="7" t="s">
        <v>79</v>
      </c>
      <c r="W49" s="7" t="s">
        <v>79</v>
      </c>
      <c r="X49" s="7" t="s">
        <v>48</v>
      </c>
      <c r="Y49" s="7" t="s">
        <v>48</v>
      </c>
      <c r="Z49" s="7" t="s">
        <v>48</v>
      </c>
      <c r="AA49" s="7" t="s">
        <v>83</v>
      </c>
      <c r="AB49" s="7" t="s">
        <v>429</v>
      </c>
      <c r="AC49" s="7" t="s">
        <v>51</v>
      </c>
      <c r="AD49" s="7" t="s">
        <v>52</v>
      </c>
      <c r="AE49" s="7" t="s">
        <v>430</v>
      </c>
      <c r="AF49" s="7" t="s">
        <v>41</v>
      </c>
      <c r="AG49" s="7" t="s">
        <v>431</v>
      </c>
    </row>
    <row r="50" ht="28.5" spans="1:33">
      <c r="A50" s="7" t="s">
        <v>432</v>
      </c>
      <c r="B50" s="16" t="s">
        <v>433</v>
      </c>
      <c r="C50" s="7" t="s">
        <v>129</v>
      </c>
      <c r="D50" s="7" t="s">
        <v>158</v>
      </c>
      <c r="E50" s="7" t="s">
        <v>91</v>
      </c>
      <c r="F50" s="7" t="s">
        <v>265</v>
      </c>
      <c r="G50" s="7" t="s">
        <v>434</v>
      </c>
      <c r="H50" s="17">
        <v>204.545013</v>
      </c>
      <c r="I50" s="17">
        <v>45.309868</v>
      </c>
      <c r="J50" s="17">
        <v>29.231918</v>
      </c>
      <c r="K50" s="18">
        <v>0.221515</v>
      </c>
      <c r="L50" s="17">
        <v>16.07795</v>
      </c>
      <c r="M50" s="18">
        <v>0.354844</v>
      </c>
      <c r="N50" s="7" t="s">
        <v>41</v>
      </c>
      <c r="O50" s="7" t="s">
        <v>435</v>
      </c>
      <c r="P50" s="7" t="s">
        <v>436</v>
      </c>
      <c r="Q50" s="7" t="s">
        <v>437</v>
      </c>
      <c r="R50" s="7" t="s">
        <v>45</v>
      </c>
      <c r="S50" s="7" t="s">
        <v>45</v>
      </c>
      <c r="T50" s="7" t="s">
        <v>46</v>
      </c>
      <c r="U50" s="7" t="s">
        <v>158</v>
      </c>
      <c r="V50" s="7" t="s">
        <v>158</v>
      </c>
      <c r="W50" s="7" t="s">
        <v>158</v>
      </c>
      <c r="X50" s="7" t="s">
        <v>48</v>
      </c>
      <c r="Y50" s="7" t="s">
        <v>134</v>
      </c>
      <c r="Z50" s="7" t="s">
        <v>134</v>
      </c>
      <c r="AA50" s="7" t="s">
        <v>162</v>
      </c>
      <c r="AB50" s="7" t="s">
        <v>438</v>
      </c>
      <c r="AC50" s="7" t="s">
        <v>51</v>
      </c>
      <c r="AD50" s="7" t="s">
        <v>64</v>
      </c>
      <c r="AE50" s="7" t="s">
        <v>302</v>
      </c>
      <c r="AF50" s="7" t="s">
        <v>66</v>
      </c>
      <c r="AG50" s="7" t="s">
        <v>439</v>
      </c>
    </row>
    <row r="51" ht="28.5" spans="1:33">
      <c r="A51" s="7" t="s">
        <v>440</v>
      </c>
      <c r="B51" s="16" t="s">
        <v>441</v>
      </c>
      <c r="C51" s="7" t="s">
        <v>129</v>
      </c>
      <c r="D51" s="7" t="s">
        <v>158</v>
      </c>
      <c r="E51" s="7" t="s">
        <v>91</v>
      </c>
      <c r="F51" s="7" t="s">
        <v>265</v>
      </c>
      <c r="G51" s="7" t="s">
        <v>442</v>
      </c>
      <c r="H51" s="17">
        <v>341.910828</v>
      </c>
      <c r="I51" s="17">
        <v>159.471848</v>
      </c>
      <c r="J51" s="17">
        <v>50.754864</v>
      </c>
      <c r="K51" s="18">
        <v>0.466414</v>
      </c>
      <c r="L51" s="17">
        <v>108.716984</v>
      </c>
      <c r="M51" s="18">
        <v>0.681732</v>
      </c>
      <c r="N51" s="7" t="s">
        <v>41</v>
      </c>
      <c r="O51" s="7" t="s">
        <v>443</v>
      </c>
      <c r="P51" s="7" t="s">
        <v>444</v>
      </c>
      <c r="Q51" s="7" t="s">
        <v>445</v>
      </c>
      <c r="R51" s="7" t="s">
        <v>45</v>
      </c>
      <c r="S51" s="7" t="s">
        <v>45</v>
      </c>
      <c r="T51" s="7" t="s">
        <v>46</v>
      </c>
      <c r="U51" s="7" t="s">
        <v>158</v>
      </c>
      <c r="V51" s="7" t="s">
        <v>158</v>
      </c>
      <c r="W51" s="7" t="s">
        <v>158</v>
      </c>
      <c r="X51" s="7" t="s">
        <v>48</v>
      </c>
      <c r="Y51" s="7" t="s">
        <v>134</v>
      </c>
      <c r="Z51" s="7" t="s">
        <v>134</v>
      </c>
      <c r="AA51" s="7" t="s">
        <v>162</v>
      </c>
      <c r="AB51" s="7" t="s">
        <v>446</v>
      </c>
      <c r="AC51" s="7" t="s">
        <v>51</v>
      </c>
      <c r="AD51" s="7" t="s">
        <v>64</v>
      </c>
      <c r="AE51" s="7" t="s">
        <v>164</v>
      </c>
      <c r="AF51" s="7" t="s">
        <v>447</v>
      </c>
      <c r="AG51" s="7" t="s">
        <v>448</v>
      </c>
    </row>
    <row r="52" ht="42.75" spans="1:33">
      <c r="A52" s="7" t="s">
        <v>449</v>
      </c>
      <c r="B52" s="16" t="s">
        <v>441</v>
      </c>
      <c r="C52" s="7" t="s">
        <v>129</v>
      </c>
      <c r="D52" s="7" t="s">
        <v>130</v>
      </c>
      <c r="E52" s="7" t="s">
        <v>91</v>
      </c>
      <c r="F52" s="7" t="s">
        <v>265</v>
      </c>
      <c r="G52" s="7" t="s">
        <v>442</v>
      </c>
      <c r="H52" s="17">
        <v>341.910828</v>
      </c>
      <c r="I52" s="17">
        <v>159.471848</v>
      </c>
      <c r="J52" s="17">
        <v>50.754864</v>
      </c>
      <c r="K52" s="18">
        <v>0.466414</v>
      </c>
      <c r="L52" s="17">
        <v>108.716984</v>
      </c>
      <c r="M52" s="18">
        <v>0.681732</v>
      </c>
      <c r="N52" s="7" t="s">
        <v>41</v>
      </c>
      <c r="O52" s="7" t="s">
        <v>450</v>
      </c>
      <c r="P52" s="7" t="s">
        <v>451</v>
      </c>
      <c r="Q52" s="7" t="s">
        <v>452</v>
      </c>
      <c r="R52" s="7" t="s">
        <v>45</v>
      </c>
      <c r="S52" s="7" t="s">
        <v>45</v>
      </c>
      <c r="T52" s="7" t="s">
        <v>46</v>
      </c>
      <c r="U52" s="7" t="s">
        <v>130</v>
      </c>
      <c r="V52" s="7" t="s">
        <v>130</v>
      </c>
      <c r="W52" s="7" t="s">
        <v>130</v>
      </c>
      <c r="X52" s="7" t="s">
        <v>48</v>
      </c>
      <c r="Y52" s="7" t="s">
        <v>134</v>
      </c>
      <c r="Z52" s="7" t="s">
        <v>134</v>
      </c>
      <c r="AA52" s="7" t="s">
        <v>135</v>
      </c>
      <c r="AB52" s="7" t="s">
        <v>453</v>
      </c>
      <c r="AC52" s="7" t="s">
        <v>51</v>
      </c>
      <c r="AD52" s="7" t="s">
        <v>52</v>
      </c>
      <c r="AE52" s="7" t="s">
        <v>329</v>
      </c>
      <c r="AF52" s="7" t="s">
        <v>75</v>
      </c>
      <c r="AG52" s="7" t="s">
        <v>454</v>
      </c>
    </row>
    <row r="53" ht="28.5" spans="1:33">
      <c r="A53" s="7" t="s">
        <v>455</v>
      </c>
      <c r="B53" s="16" t="s">
        <v>441</v>
      </c>
      <c r="C53" s="7" t="s">
        <v>129</v>
      </c>
      <c r="D53" s="7" t="s">
        <v>158</v>
      </c>
      <c r="E53" s="7" t="s">
        <v>91</v>
      </c>
      <c r="F53" s="7" t="s">
        <v>265</v>
      </c>
      <c r="G53" s="7" t="s">
        <v>442</v>
      </c>
      <c r="H53" s="17">
        <v>341.910828</v>
      </c>
      <c r="I53" s="17">
        <v>159.471848</v>
      </c>
      <c r="J53" s="17">
        <v>50.754864</v>
      </c>
      <c r="K53" s="18">
        <v>0.466414</v>
      </c>
      <c r="L53" s="17">
        <v>108.716984</v>
      </c>
      <c r="M53" s="18">
        <v>0.681732</v>
      </c>
      <c r="N53" s="7" t="s">
        <v>41</v>
      </c>
      <c r="O53" s="7" t="s">
        <v>456</v>
      </c>
      <c r="P53" s="7" t="s">
        <v>457</v>
      </c>
      <c r="Q53" s="7" t="s">
        <v>458</v>
      </c>
      <c r="R53" s="7" t="s">
        <v>45</v>
      </c>
      <c r="S53" s="7" t="s">
        <v>45</v>
      </c>
      <c r="T53" s="7" t="s">
        <v>46</v>
      </c>
      <c r="U53" s="7" t="s">
        <v>158</v>
      </c>
      <c r="V53" s="7" t="s">
        <v>158</v>
      </c>
      <c r="W53" s="7" t="s">
        <v>158</v>
      </c>
      <c r="X53" s="7" t="s">
        <v>48</v>
      </c>
      <c r="Y53" s="7" t="s">
        <v>134</v>
      </c>
      <c r="Z53" s="7" t="s">
        <v>134</v>
      </c>
      <c r="AA53" s="7" t="s">
        <v>162</v>
      </c>
      <c r="AB53" s="7" t="s">
        <v>459</v>
      </c>
      <c r="AC53" s="7" t="s">
        <v>51</v>
      </c>
      <c r="AD53" s="7" t="s">
        <v>64</v>
      </c>
      <c r="AE53" s="7" t="s">
        <v>366</v>
      </c>
      <c r="AF53" s="7" t="s">
        <v>66</v>
      </c>
      <c r="AG53" s="7" t="s">
        <v>460</v>
      </c>
    </row>
    <row r="54" ht="28.5" spans="1:33">
      <c r="A54" s="7" t="s">
        <v>461</v>
      </c>
      <c r="B54" s="16" t="s">
        <v>441</v>
      </c>
      <c r="C54" s="7" t="s">
        <v>129</v>
      </c>
      <c r="D54" s="7" t="s">
        <v>158</v>
      </c>
      <c r="E54" s="7" t="s">
        <v>91</v>
      </c>
      <c r="F54" s="7" t="s">
        <v>265</v>
      </c>
      <c r="G54" s="7" t="s">
        <v>442</v>
      </c>
      <c r="H54" s="17">
        <v>341.910828</v>
      </c>
      <c r="I54" s="17">
        <v>159.471848</v>
      </c>
      <c r="J54" s="17">
        <v>50.754864</v>
      </c>
      <c r="K54" s="18">
        <v>0.466414</v>
      </c>
      <c r="L54" s="17">
        <v>108.716984</v>
      </c>
      <c r="M54" s="18">
        <v>0.681732</v>
      </c>
      <c r="N54" s="7" t="s">
        <v>41</v>
      </c>
      <c r="O54" s="7" t="s">
        <v>462</v>
      </c>
      <c r="P54" s="7" t="s">
        <v>463</v>
      </c>
      <c r="Q54" s="7" t="s">
        <v>464</v>
      </c>
      <c r="R54" s="7" t="s">
        <v>45</v>
      </c>
      <c r="S54" s="7" t="s">
        <v>45</v>
      </c>
      <c r="T54" s="7" t="s">
        <v>46</v>
      </c>
      <c r="U54" s="7" t="s">
        <v>158</v>
      </c>
      <c r="V54" s="7" t="s">
        <v>158</v>
      </c>
      <c r="W54" s="7" t="s">
        <v>158</v>
      </c>
      <c r="X54" s="7" t="s">
        <v>48</v>
      </c>
      <c r="Y54" s="7" t="s">
        <v>134</v>
      </c>
      <c r="Z54" s="7" t="s">
        <v>134</v>
      </c>
      <c r="AA54" s="7" t="s">
        <v>162</v>
      </c>
      <c r="AB54" s="7" t="s">
        <v>465</v>
      </c>
      <c r="AC54" s="7" t="s">
        <v>51</v>
      </c>
      <c r="AD54" s="7" t="s">
        <v>64</v>
      </c>
      <c r="AE54" s="7" t="s">
        <v>375</v>
      </c>
      <c r="AF54" s="7" t="s">
        <v>66</v>
      </c>
      <c r="AG54" s="7" t="s">
        <v>466</v>
      </c>
    </row>
    <row r="55" ht="57" spans="1:33">
      <c r="A55" s="7" t="s">
        <v>467</v>
      </c>
      <c r="B55" s="16" t="s">
        <v>441</v>
      </c>
      <c r="C55" s="7" t="s">
        <v>129</v>
      </c>
      <c r="D55" s="7" t="s">
        <v>227</v>
      </c>
      <c r="E55" s="7" t="s">
        <v>91</v>
      </c>
      <c r="F55" s="7" t="s">
        <v>265</v>
      </c>
      <c r="G55" s="7" t="s">
        <v>442</v>
      </c>
      <c r="H55" s="17">
        <v>341.910828</v>
      </c>
      <c r="I55" s="17">
        <v>159.471848</v>
      </c>
      <c r="J55" s="17">
        <v>50.754864</v>
      </c>
      <c r="K55" s="18">
        <v>0.466414</v>
      </c>
      <c r="L55" s="17">
        <v>108.716984</v>
      </c>
      <c r="M55" s="18">
        <v>0.681732</v>
      </c>
      <c r="N55" s="7" t="s">
        <v>41</v>
      </c>
      <c r="O55" s="7" t="s">
        <v>468</v>
      </c>
      <c r="P55" s="7" t="s">
        <v>469</v>
      </c>
      <c r="Q55" s="7" t="s">
        <v>470</v>
      </c>
      <c r="R55" s="7" t="s">
        <v>45</v>
      </c>
      <c r="S55" s="7" t="s">
        <v>45</v>
      </c>
      <c r="T55" s="7" t="s">
        <v>46</v>
      </c>
      <c r="U55" s="7" t="s">
        <v>227</v>
      </c>
      <c r="V55" s="7" t="s">
        <v>227</v>
      </c>
      <c r="W55" s="7" t="s">
        <v>227</v>
      </c>
      <c r="X55" s="7" t="s">
        <v>48</v>
      </c>
      <c r="Y55" s="7" t="s">
        <v>134</v>
      </c>
      <c r="Z55" s="7" t="s">
        <v>134</v>
      </c>
      <c r="AA55" s="7" t="s">
        <v>241</v>
      </c>
      <c r="AB55" s="7" t="s">
        <v>471</v>
      </c>
      <c r="AC55" s="7" t="s">
        <v>51</v>
      </c>
      <c r="AD55" s="7" t="s">
        <v>243</v>
      </c>
      <c r="AE55" s="7" t="s">
        <v>472</v>
      </c>
      <c r="AF55" s="7" t="s">
        <v>165</v>
      </c>
      <c r="AG55" s="7" t="s">
        <v>473</v>
      </c>
    </row>
    <row r="56" ht="57" spans="1:33">
      <c r="A56" s="7" t="s">
        <v>474</v>
      </c>
      <c r="B56" s="16" t="s">
        <v>475</v>
      </c>
      <c r="C56" s="7" t="s">
        <v>129</v>
      </c>
      <c r="D56" s="7" t="s">
        <v>227</v>
      </c>
      <c r="E56" s="7" t="s">
        <v>91</v>
      </c>
      <c r="F56" s="7" t="s">
        <v>265</v>
      </c>
      <c r="G56" s="7" t="s">
        <v>476</v>
      </c>
      <c r="H56" s="17">
        <v>219.814301</v>
      </c>
      <c r="I56" s="17">
        <v>35.7033</v>
      </c>
      <c r="J56" s="17">
        <v>3.004886</v>
      </c>
      <c r="K56" s="18">
        <v>0.162425</v>
      </c>
      <c r="L56" s="17">
        <v>32.698414</v>
      </c>
      <c r="M56" s="18">
        <v>0.915837</v>
      </c>
      <c r="N56" s="7" t="s">
        <v>41</v>
      </c>
      <c r="O56" s="7" t="s">
        <v>477</v>
      </c>
      <c r="P56" s="7" t="s">
        <v>478</v>
      </c>
      <c r="Q56" s="7" t="s">
        <v>479</v>
      </c>
      <c r="R56" s="7" t="s">
        <v>45</v>
      </c>
      <c r="S56" s="7" t="s">
        <v>45</v>
      </c>
      <c r="T56" s="7" t="s">
        <v>46</v>
      </c>
      <c r="U56" s="7" t="s">
        <v>227</v>
      </c>
      <c r="V56" s="7" t="s">
        <v>227</v>
      </c>
      <c r="W56" s="7" t="s">
        <v>227</v>
      </c>
      <c r="X56" s="7" t="s">
        <v>48</v>
      </c>
      <c r="Y56" s="7" t="s">
        <v>134</v>
      </c>
      <c r="Z56" s="7" t="s">
        <v>134</v>
      </c>
      <c r="AA56" s="7" t="s">
        <v>241</v>
      </c>
      <c r="AB56" s="7" t="s">
        <v>480</v>
      </c>
      <c r="AC56" s="7" t="s">
        <v>51</v>
      </c>
      <c r="AD56" s="7" t="s">
        <v>243</v>
      </c>
      <c r="AE56" s="7" t="s">
        <v>481</v>
      </c>
      <c r="AF56" s="7" t="s">
        <v>482</v>
      </c>
      <c r="AG56" s="7" t="s">
        <v>483</v>
      </c>
    </row>
    <row r="57" ht="28.5" spans="1:33">
      <c r="A57" s="7" t="s">
        <v>484</v>
      </c>
      <c r="B57" s="16" t="s">
        <v>475</v>
      </c>
      <c r="C57" s="7" t="s">
        <v>129</v>
      </c>
      <c r="D57" s="7" t="s">
        <v>158</v>
      </c>
      <c r="E57" s="7" t="s">
        <v>91</v>
      </c>
      <c r="F57" s="7" t="s">
        <v>265</v>
      </c>
      <c r="G57" s="7" t="s">
        <v>476</v>
      </c>
      <c r="H57" s="17">
        <v>219.814301</v>
      </c>
      <c r="I57" s="17">
        <v>35.7033</v>
      </c>
      <c r="J57" s="17">
        <v>3.004886</v>
      </c>
      <c r="K57" s="18">
        <v>0.162425</v>
      </c>
      <c r="L57" s="17">
        <v>32.698414</v>
      </c>
      <c r="M57" s="18">
        <v>0.915837</v>
      </c>
      <c r="N57" s="7" t="s">
        <v>41</v>
      </c>
      <c r="O57" s="7" t="s">
        <v>485</v>
      </c>
      <c r="P57" s="7" t="s">
        <v>486</v>
      </c>
      <c r="Q57" s="7" t="s">
        <v>487</v>
      </c>
      <c r="R57" s="7" t="s">
        <v>45</v>
      </c>
      <c r="S57" s="7" t="s">
        <v>45</v>
      </c>
      <c r="T57" s="7" t="s">
        <v>46</v>
      </c>
      <c r="U57" s="7" t="s">
        <v>158</v>
      </c>
      <c r="V57" s="7" t="s">
        <v>158</v>
      </c>
      <c r="W57" s="7" t="s">
        <v>158</v>
      </c>
      <c r="X57" s="7" t="s">
        <v>48</v>
      </c>
      <c r="Y57" s="7" t="s">
        <v>134</v>
      </c>
      <c r="Z57" s="7" t="s">
        <v>134</v>
      </c>
      <c r="AA57" s="7" t="s">
        <v>162</v>
      </c>
      <c r="AB57" s="7" t="s">
        <v>488</v>
      </c>
      <c r="AC57" s="7" t="s">
        <v>51</v>
      </c>
      <c r="AD57" s="7" t="s">
        <v>64</v>
      </c>
      <c r="AE57" s="7" t="s">
        <v>366</v>
      </c>
      <c r="AF57" s="7" t="s">
        <v>66</v>
      </c>
      <c r="AG57" s="7" t="s">
        <v>489</v>
      </c>
    </row>
    <row r="58" ht="42.75" spans="1:33">
      <c r="A58" s="7" t="s">
        <v>490</v>
      </c>
      <c r="B58" s="16" t="s">
        <v>475</v>
      </c>
      <c r="C58" s="7" t="s">
        <v>129</v>
      </c>
      <c r="D58" s="7" t="s">
        <v>130</v>
      </c>
      <c r="E58" s="7" t="s">
        <v>91</v>
      </c>
      <c r="F58" s="7" t="s">
        <v>265</v>
      </c>
      <c r="G58" s="7" t="s">
        <v>476</v>
      </c>
      <c r="H58" s="17">
        <v>219.814301</v>
      </c>
      <c r="I58" s="17">
        <v>35.7033</v>
      </c>
      <c r="J58" s="17">
        <v>3.004886</v>
      </c>
      <c r="K58" s="18">
        <v>0.162425</v>
      </c>
      <c r="L58" s="17">
        <v>32.698414</v>
      </c>
      <c r="M58" s="18">
        <v>0.915837</v>
      </c>
      <c r="N58" s="7" t="s">
        <v>41</v>
      </c>
      <c r="O58" s="7" t="s">
        <v>491</v>
      </c>
      <c r="P58" s="7" t="s">
        <v>492</v>
      </c>
      <c r="Q58" s="7" t="s">
        <v>493</v>
      </c>
      <c r="R58" s="7" t="s">
        <v>45</v>
      </c>
      <c r="S58" s="7" t="s">
        <v>45</v>
      </c>
      <c r="T58" s="7" t="s">
        <v>46</v>
      </c>
      <c r="U58" s="7" t="s">
        <v>130</v>
      </c>
      <c r="V58" s="7" t="s">
        <v>130</v>
      </c>
      <c r="W58" s="7" t="s">
        <v>130</v>
      </c>
      <c r="X58" s="7" t="s">
        <v>48</v>
      </c>
      <c r="Y58" s="7" t="s">
        <v>134</v>
      </c>
      <c r="Z58" s="7" t="s">
        <v>134</v>
      </c>
      <c r="AA58" s="7" t="s">
        <v>135</v>
      </c>
      <c r="AB58" s="7" t="s">
        <v>494</v>
      </c>
      <c r="AC58" s="7" t="s">
        <v>51</v>
      </c>
      <c r="AD58" s="7" t="s">
        <v>52</v>
      </c>
      <c r="AE58" s="7" t="s">
        <v>254</v>
      </c>
      <c r="AF58" s="7" t="s">
        <v>75</v>
      </c>
      <c r="AG58" s="7" t="s">
        <v>495</v>
      </c>
    </row>
    <row r="59" ht="28.5" spans="1:33">
      <c r="A59" s="7" t="s">
        <v>496</v>
      </c>
      <c r="B59" s="16" t="s">
        <v>497</v>
      </c>
      <c r="C59" s="7" t="s">
        <v>129</v>
      </c>
      <c r="D59" s="7" t="s">
        <v>158</v>
      </c>
      <c r="E59" s="7" t="s">
        <v>91</v>
      </c>
      <c r="F59" s="7" t="s">
        <v>92</v>
      </c>
      <c r="G59" s="7" t="s">
        <v>498</v>
      </c>
      <c r="H59" s="17">
        <v>297.945251</v>
      </c>
      <c r="I59" s="17">
        <v>84.191238</v>
      </c>
      <c r="J59" s="17">
        <v>83.507751</v>
      </c>
      <c r="K59" s="18">
        <v>0.282573</v>
      </c>
      <c r="L59" s="17">
        <v>0.683487</v>
      </c>
      <c r="M59" s="18">
        <v>0.008118</v>
      </c>
      <c r="N59" s="7" t="s">
        <v>41</v>
      </c>
      <c r="O59" s="7" t="s">
        <v>499</v>
      </c>
      <c r="P59" s="7" t="s">
        <v>500</v>
      </c>
      <c r="Q59" s="7" t="s">
        <v>501</v>
      </c>
      <c r="R59" s="7" t="s">
        <v>45</v>
      </c>
      <c r="S59" s="7" t="s">
        <v>45</v>
      </c>
      <c r="T59" s="7" t="s">
        <v>46</v>
      </c>
      <c r="U59" s="7" t="s">
        <v>158</v>
      </c>
      <c r="V59" s="7" t="s">
        <v>158</v>
      </c>
      <c r="W59" s="7" t="s">
        <v>158</v>
      </c>
      <c r="X59" s="7" t="s">
        <v>48</v>
      </c>
      <c r="Y59" s="7" t="s">
        <v>134</v>
      </c>
      <c r="Z59" s="7" t="s">
        <v>134</v>
      </c>
      <c r="AA59" s="7" t="s">
        <v>162</v>
      </c>
      <c r="AB59" s="7" t="s">
        <v>502</v>
      </c>
      <c r="AC59" s="7" t="s">
        <v>51</v>
      </c>
      <c r="AD59" s="7" t="s">
        <v>64</v>
      </c>
      <c r="AE59" s="7" t="s">
        <v>366</v>
      </c>
      <c r="AF59" s="7" t="s">
        <v>165</v>
      </c>
      <c r="AG59" s="7" t="s">
        <v>503</v>
      </c>
    </row>
    <row r="60" ht="114" spans="1:33">
      <c r="A60" s="7" t="s">
        <v>504</v>
      </c>
      <c r="B60" s="16" t="s">
        <v>505</v>
      </c>
      <c r="C60" s="7" t="s">
        <v>129</v>
      </c>
      <c r="D60" s="7" t="s">
        <v>158</v>
      </c>
      <c r="E60" s="7" t="s">
        <v>91</v>
      </c>
      <c r="F60" s="7" t="s">
        <v>121</v>
      </c>
      <c r="G60" s="7" t="s">
        <v>506</v>
      </c>
      <c r="H60" s="17">
        <v>283.152069</v>
      </c>
      <c r="I60" s="17">
        <v>0</v>
      </c>
      <c r="J60" s="17">
        <v>0</v>
      </c>
      <c r="K60" s="18">
        <v>0</v>
      </c>
      <c r="L60" s="17">
        <v>0</v>
      </c>
      <c r="M60" s="18">
        <v>0</v>
      </c>
      <c r="N60" s="7" t="s">
        <v>41</v>
      </c>
      <c r="O60" s="7" t="s">
        <v>507</v>
      </c>
      <c r="P60" s="7" t="s">
        <v>508</v>
      </c>
      <c r="Q60" s="7" t="s">
        <v>509</v>
      </c>
      <c r="R60" s="7" t="s">
        <v>510</v>
      </c>
      <c r="S60" s="7" t="s">
        <v>511</v>
      </c>
      <c r="T60" s="7" t="s">
        <v>512</v>
      </c>
      <c r="U60" s="7" t="s">
        <v>158</v>
      </c>
      <c r="V60" s="7" t="s">
        <v>158</v>
      </c>
      <c r="W60" s="7" t="s">
        <v>158</v>
      </c>
      <c r="X60" s="7" t="s">
        <v>134</v>
      </c>
      <c r="Y60" s="7" t="s">
        <v>48</v>
      </c>
      <c r="Z60" s="7" t="s">
        <v>134</v>
      </c>
      <c r="AA60" s="7" t="s">
        <v>513</v>
      </c>
      <c r="AB60" s="7" t="s">
        <v>514</v>
      </c>
      <c r="AC60" s="7" t="s">
        <v>515</v>
      </c>
      <c r="AD60" s="7" t="s">
        <v>52</v>
      </c>
      <c r="AE60" s="7" t="s">
        <v>100</v>
      </c>
      <c r="AF60" s="7" t="s">
        <v>41</v>
      </c>
      <c r="AG60" s="7" t="s">
        <v>516</v>
      </c>
    </row>
    <row r="61" ht="42.75" spans="1:33">
      <c r="A61" s="7" t="s">
        <v>517</v>
      </c>
      <c r="B61" s="16" t="s">
        <v>505</v>
      </c>
      <c r="C61" s="7" t="s">
        <v>57</v>
      </c>
      <c r="D61" s="7" t="s">
        <v>58</v>
      </c>
      <c r="E61" s="7" t="s">
        <v>91</v>
      </c>
      <c r="F61" s="7" t="s">
        <v>121</v>
      </c>
      <c r="G61" s="7" t="s">
        <v>506</v>
      </c>
      <c r="H61" s="17">
        <v>283.152069</v>
      </c>
      <c r="I61" s="17">
        <v>0</v>
      </c>
      <c r="J61" s="17">
        <v>0</v>
      </c>
      <c r="K61" s="18">
        <v>0</v>
      </c>
      <c r="L61" s="17">
        <v>0</v>
      </c>
      <c r="M61" s="18">
        <v>0</v>
      </c>
      <c r="N61" s="7" t="s">
        <v>41</v>
      </c>
      <c r="O61" s="7" t="s">
        <v>518</v>
      </c>
      <c r="P61" s="7" t="s">
        <v>519</v>
      </c>
      <c r="Q61" s="7" t="s">
        <v>520</v>
      </c>
      <c r="R61" s="7" t="s">
        <v>45</v>
      </c>
      <c r="S61" s="7" t="s">
        <v>45</v>
      </c>
      <c r="T61" s="7" t="s">
        <v>46</v>
      </c>
      <c r="U61" s="7" t="s">
        <v>58</v>
      </c>
      <c r="V61" s="7" t="s">
        <v>58</v>
      </c>
      <c r="W61" s="7" t="s">
        <v>58</v>
      </c>
      <c r="X61" s="7" t="s">
        <v>48</v>
      </c>
      <c r="Y61" s="7" t="s">
        <v>48</v>
      </c>
      <c r="Z61" s="7" t="s">
        <v>48</v>
      </c>
      <c r="AA61" s="7" t="s">
        <v>62</v>
      </c>
      <c r="AB61" s="7" t="s">
        <v>521</v>
      </c>
      <c r="AC61" s="7" t="s">
        <v>51</v>
      </c>
      <c r="AD61" s="7" t="s">
        <v>52</v>
      </c>
      <c r="AE61" s="7" t="s">
        <v>522</v>
      </c>
      <c r="AF61" s="7" t="s">
        <v>75</v>
      </c>
      <c r="AG61" s="7" t="s">
        <v>523</v>
      </c>
    </row>
    <row r="62" ht="28.5" spans="1:33">
      <c r="A62" s="7" t="s">
        <v>524</v>
      </c>
      <c r="B62" s="16" t="s">
        <v>525</v>
      </c>
      <c r="C62" s="7" t="s">
        <v>129</v>
      </c>
      <c r="D62" s="7" t="s">
        <v>158</v>
      </c>
      <c r="E62" s="7" t="s">
        <v>91</v>
      </c>
      <c r="F62" s="7" t="s">
        <v>265</v>
      </c>
      <c r="G62" s="7" t="s">
        <v>526</v>
      </c>
      <c r="H62" s="17">
        <v>302.496674</v>
      </c>
      <c r="I62" s="17">
        <v>116.983833</v>
      </c>
      <c r="J62" s="17">
        <v>115.348503</v>
      </c>
      <c r="K62" s="18">
        <v>0.386728</v>
      </c>
      <c r="L62" s="17">
        <v>1.63533</v>
      </c>
      <c r="M62" s="18">
        <v>0.013979</v>
      </c>
      <c r="N62" s="7" t="s">
        <v>41</v>
      </c>
      <c r="O62" s="7" t="s">
        <v>527</v>
      </c>
      <c r="P62" s="7" t="s">
        <v>528</v>
      </c>
      <c r="Q62" s="7" t="s">
        <v>529</v>
      </c>
      <c r="R62" s="7" t="s">
        <v>45</v>
      </c>
      <c r="S62" s="7" t="s">
        <v>45</v>
      </c>
      <c r="T62" s="7" t="s">
        <v>46</v>
      </c>
      <c r="U62" s="7" t="s">
        <v>158</v>
      </c>
      <c r="V62" s="7" t="s">
        <v>227</v>
      </c>
      <c r="W62" s="7" t="s">
        <v>158</v>
      </c>
      <c r="X62" s="7" t="s">
        <v>48</v>
      </c>
      <c r="Y62" s="7" t="s">
        <v>134</v>
      </c>
      <c r="Z62" s="7" t="s">
        <v>134</v>
      </c>
      <c r="AA62" s="7" t="s">
        <v>162</v>
      </c>
      <c r="AB62" s="7" t="s">
        <v>530</v>
      </c>
      <c r="AC62" s="7" t="s">
        <v>51</v>
      </c>
      <c r="AD62" s="7" t="s">
        <v>243</v>
      </c>
      <c r="AE62" s="7" t="s">
        <v>531</v>
      </c>
      <c r="AF62" s="7" t="s">
        <v>188</v>
      </c>
      <c r="AG62" s="7" t="s">
        <v>532</v>
      </c>
    </row>
    <row r="63" ht="28.5" spans="1:33">
      <c r="A63" s="7" t="s">
        <v>533</v>
      </c>
      <c r="B63" s="16" t="s">
        <v>534</v>
      </c>
      <c r="C63" s="7" t="s">
        <v>129</v>
      </c>
      <c r="D63" s="7" t="s">
        <v>158</v>
      </c>
      <c r="E63" s="7" t="s">
        <v>91</v>
      </c>
      <c r="F63" s="7" t="s">
        <v>121</v>
      </c>
      <c r="G63" s="7" t="s">
        <v>535</v>
      </c>
      <c r="H63" s="17">
        <v>337.441193</v>
      </c>
      <c r="I63" s="17">
        <v>44.318737</v>
      </c>
      <c r="J63" s="17">
        <v>44.318737</v>
      </c>
      <c r="K63" s="18">
        <v>0.131338</v>
      </c>
      <c r="L63" s="17">
        <v>0</v>
      </c>
      <c r="M63" s="18">
        <v>0</v>
      </c>
      <c r="N63" s="7" t="s">
        <v>41</v>
      </c>
      <c r="O63" s="7" t="s">
        <v>536</v>
      </c>
      <c r="P63" s="7" t="s">
        <v>537</v>
      </c>
      <c r="Q63" s="7" t="s">
        <v>538</v>
      </c>
      <c r="R63" s="7" t="s">
        <v>45</v>
      </c>
      <c r="S63" s="7" t="s">
        <v>45</v>
      </c>
      <c r="T63" s="7" t="s">
        <v>46</v>
      </c>
      <c r="U63" s="7" t="s">
        <v>158</v>
      </c>
      <c r="V63" s="7" t="s">
        <v>158</v>
      </c>
      <c r="W63" s="7" t="s">
        <v>158</v>
      </c>
      <c r="X63" s="7" t="s">
        <v>48</v>
      </c>
      <c r="Y63" s="7" t="s">
        <v>134</v>
      </c>
      <c r="Z63" s="7" t="s">
        <v>134</v>
      </c>
      <c r="AA63" s="7" t="s">
        <v>162</v>
      </c>
      <c r="AB63" s="7" t="s">
        <v>539</v>
      </c>
      <c r="AC63" s="7" t="s">
        <v>51</v>
      </c>
      <c r="AD63" s="7" t="s">
        <v>52</v>
      </c>
      <c r="AE63" s="7" t="s">
        <v>540</v>
      </c>
      <c r="AF63" s="7" t="s">
        <v>75</v>
      </c>
      <c r="AG63" s="7" t="s">
        <v>541</v>
      </c>
    </row>
    <row r="64" ht="42.75" spans="1:33">
      <c r="A64" s="7" t="s">
        <v>542</v>
      </c>
      <c r="B64" s="16" t="s">
        <v>543</v>
      </c>
      <c r="C64" s="7" t="s">
        <v>57</v>
      </c>
      <c r="D64" s="7" t="s">
        <v>58</v>
      </c>
      <c r="E64" s="7" t="s">
        <v>91</v>
      </c>
      <c r="F64" s="7" t="s">
        <v>92</v>
      </c>
      <c r="G64" s="7" t="s">
        <v>544</v>
      </c>
      <c r="H64" s="17">
        <v>276.531433</v>
      </c>
      <c r="I64" s="17">
        <v>152.06282</v>
      </c>
      <c r="J64" s="17">
        <v>152.06282</v>
      </c>
      <c r="K64" s="18">
        <v>0.549893</v>
      </c>
      <c r="L64" s="17">
        <v>0</v>
      </c>
      <c r="M64" s="18">
        <v>0</v>
      </c>
      <c r="N64" s="7" t="s">
        <v>41</v>
      </c>
      <c r="O64" s="7" t="s">
        <v>545</v>
      </c>
      <c r="P64" s="7" t="s">
        <v>546</v>
      </c>
      <c r="Q64" s="7" t="s">
        <v>547</v>
      </c>
      <c r="R64" s="7" t="s">
        <v>45</v>
      </c>
      <c r="S64" s="7" t="s">
        <v>45</v>
      </c>
      <c r="T64" s="7" t="s">
        <v>46</v>
      </c>
      <c r="U64" s="7" t="s">
        <v>58</v>
      </c>
      <c r="V64" s="7" t="s">
        <v>58</v>
      </c>
      <c r="W64" s="7" t="s">
        <v>58</v>
      </c>
      <c r="X64" s="7" t="s">
        <v>48</v>
      </c>
      <c r="Y64" s="7" t="s">
        <v>48</v>
      </c>
      <c r="Z64" s="7" t="s">
        <v>48</v>
      </c>
      <c r="AA64" s="7" t="s">
        <v>62</v>
      </c>
      <c r="AB64" s="7" t="s">
        <v>548</v>
      </c>
      <c r="AC64" s="7" t="s">
        <v>51</v>
      </c>
      <c r="AD64" s="7" t="s">
        <v>52</v>
      </c>
      <c r="AE64" s="7" t="s">
        <v>549</v>
      </c>
      <c r="AF64" s="7" t="s">
        <v>41</v>
      </c>
      <c r="AG64" s="7" t="s">
        <v>550</v>
      </c>
    </row>
    <row r="65" ht="42.75" spans="1:33">
      <c r="A65" s="7" t="s">
        <v>551</v>
      </c>
      <c r="B65" s="16" t="s">
        <v>552</v>
      </c>
      <c r="C65" s="7" t="s">
        <v>57</v>
      </c>
      <c r="D65" s="7" t="s">
        <v>58</v>
      </c>
      <c r="E65" s="7" t="s">
        <v>91</v>
      </c>
      <c r="F65" s="7" t="s">
        <v>92</v>
      </c>
      <c r="G65" s="7" t="s">
        <v>553</v>
      </c>
      <c r="H65" s="17">
        <v>303.082855</v>
      </c>
      <c r="I65" s="17">
        <v>161.344574</v>
      </c>
      <c r="J65" s="17">
        <v>161.344574</v>
      </c>
      <c r="K65" s="18">
        <v>0.532345</v>
      </c>
      <c r="L65" s="17">
        <v>0</v>
      </c>
      <c r="M65" s="18">
        <v>0</v>
      </c>
      <c r="N65" s="7" t="s">
        <v>41</v>
      </c>
      <c r="O65" s="7" t="s">
        <v>554</v>
      </c>
      <c r="P65" s="7" t="s">
        <v>555</v>
      </c>
      <c r="Q65" s="7" t="s">
        <v>556</v>
      </c>
      <c r="R65" s="7" t="s">
        <v>45</v>
      </c>
      <c r="S65" s="7" t="s">
        <v>45</v>
      </c>
      <c r="T65" s="7" t="s">
        <v>46</v>
      </c>
      <c r="U65" s="7" t="s">
        <v>58</v>
      </c>
      <c r="V65" s="7" t="s">
        <v>58</v>
      </c>
      <c r="W65" s="7" t="s">
        <v>58</v>
      </c>
      <c r="X65" s="7" t="s">
        <v>48</v>
      </c>
      <c r="Y65" s="7" t="s">
        <v>48</v>
      </c>
      <c r="Z65" s="7" t="s">
        <v>48</v>
      </c>
      <c r="AA65" s="7" t="s">
        <v>62</v>
      </c>
      <c r="AB65" s="7" t="s">
        <v>557</v>
      </c>
      <c r="AC65" s="7" t="s">
        <v>51</v>
      </c>
      <c r="AD65" s="7" t="s">
        <v>52</v>
      </c>
      <c r="AE65" s="7" t="s">
        <v>53</v>
      </c>
      <c r="AF65" s="7" t="s">
        <v>41</v>
      </c>
      <c r="AG65" s="7" t="s">
        <v>558</v>
      </c>
    </row>
    <row r="66" ht="42.75" spans="1:33">
      <c r="A66" s="7" t="s">
        <v>559</v>
      </c>
      <c r="B66" s="16" t="s">
        <v>560</v>
      </c>
      <c r="C66" s="7" t="s">
        <v>57</v>
      </c>
      <c r="D66" s="7" t="s">
        <v>58</v>
      </c>
      <c r="E66" s="7" t="s">
        <v>91</v>
      </c>
      <c r="F66" s="7" t="s">
        <v>92</v>
      </c>
      <c r="G66" s="7" t="s">
        <v>561</v>
      </c>
      <c r="H66" s="17">
        <v>250.106918</v>
      </c>
      <c r="I66" s="17">
        <v>57.096375</v>
      </c>
      <c r="J66" s="17">
        <v>57.096375</v>
      </c>
      <c r="K66" s="18">
        <v>0.228288</v>
      </c>
      <c r="L66" s="17">
        <v>0</v>
      </c>
      <c r="M66" s="18">
        <v>0</v>
      </c>
      <c r="N66" s="7" t="s">
        <v>41</v>
      </c>
      <c r="O66" s="7" t="s">
        <v>562</v>
      </c>
      <c r="P66" s="7" t="s">
        <v>563</v>
      </c>
      <c r="Q66" s="7" t="s">
        <v>564</v>
      </c>
      <c r="R66" s="7" t="s">
        <v>45</v>
      </c>
      <c r="S66" s="7" t="s">
        <v>45</v>
      </c>
      <c r="T66" s="7" t="s">
        <v>46</v>
      </c>
      <c r="U66" s="7" t="s">
        <v>58</v>
      </c>
      <c r="V66" s="7" t="s">
        <v>58</v>
      </c>
      <c r="W66" s="7" t="s">
        <v>58</v>
      </c>
      <c r="X66" s="7" t="s">
        <v>48</v>
      </c>
      <c r="Y66" s="7" t="s">
        <v>48</v>
      </c>
      <c r="Z66" s="7" t="s">
        <v>48</v>
      </c>
      <c r="AA66" s="7" t="s">
        <v>62</v>
      </c>
      <c r="AB66" s="7" t="s">
        <v>565</v>
      </c>
      <c r="AC66" s="7" t="s">
        <v>51</v>
      </c>
      <c r="AD66" s="7" t="s">
        <v>52</v>
      </c>
      <c r="AE66" s="7" t="s">
        <v>254</v>
      </c>
      <c r="AF66" s="7" t="s">
        <v>41</v>
      </c>
      <c r="AG66" s="7" t="s">
        <v>566</v>
      </c>
    </row>
    <row r="67" ht="42.75" spans="1:33">
      <c r="A67" s="7" t="s">
        <v>567</v>
      </c>
      <c r="B67" s="16" t="s">
        <v>568</v>
      </c>
      <c r="C67" s="7" t="s">
        <v>37</v>
      </c>
      <c r="D67" s="7" t="s">
        <v>38</v>
      </c>
      <c r="E67" s="7" t="s">
        <v>91</v>
      </c>
      <c r="F67" s="7" t="s">
        <v>92</v>
      </c>
      <c r="G67" s="7" t="s">
        <v>569</v>
      </c>
      <c r="H67" s="17">
        <v>239.802444</v>
      </c>
      <c r="I67" s="17">
        <v>127.925003</v>
      </c>
      <c r="J67" s="17">
        <v>127.925003</v>
      </c>
      <c r="K67" s="18">
        <v>0.53346</v>
      </c>
      <c r="L67" s="17">
        <v>0</v>
      </c>
      <c r="M67" s="18">
        <v>0</v>
      </c>
      <c r="N67" s="7" t="s">
        <v>41</v>
      </c>
      <c r="O67" s="7" t="s">
        <v>570</v>
      </c>
      <c r="P67" s="7" t="s">
        <v>571</v>
      </c>
      <c r="Q67" s="7" t="s">
        <v>572</v>
      </c>
      <c r="R67" s="7" t="s">
        <v>45</v>
      </c>
      <c r="S67" s="7" t="s">
        <v>45</v>
      </c>
      <c r="T67" s="7" t="s">
        <v>46</v>
      </c>
      <c r="U67" s="7" t="s">
        <v>38</v>
      </c>
      <c r="V67" s="7" t="s">
        <v>38</v>
      </c>
      <c r="W67" s="7" t="s">
        <v>38</v>
      </c>
      <c r="X67" s="7" t="s">
        <v>48</v>
      </c>
      <c r="Y67" s="7" t="s">
        <v>48</v>
      </c>
      <c r="Z67" s="7" t="s">
        <v>48</v>
      </c>
      <c r="AA67" s="7" t="s">
        <v>49</v>
      </c>
      <c r="AB67" s="7" t="s">
        <v>573</v>
      </c>
      <c r="AC67" s="7" t="s">
        <v>51</v>
      </c>
      <c r="AD67" s="7" t="s">
        <v>64</v>
      </c>
      <c r="AE67" s="7" t="s">
        <v>574</v>
      </c>
      <c r="AF67" s="7" t="s">
        <v>41</v>
      </c>
      <c r="AG67" s="7" t="s">
        <v>575</v>
      </c>
    </row>
    <row r="68" ht="42.75" spans="1:33">
      <c r="A68" s="7" t="s">
        <v>576</v>
      </c>
      <c r="B68" s="16" t="s">
        <v>577</v>
      </c>
      <c r="C68" s="7" t="s">
        <v>57</v>
      </c>
      <c r="D68" s="7" t="s">
        <v>58</v>
      </c>
      <c r="E68" s="7" t="s">
        <v>91</v>
      </c>
      <c r="F68" s="7" t="s">
        <v>92</v>
      </c>
      <c r="G68" s="7" t="s">
        <v>578</v>
      </c>
      <c r="H68" s="17">
        <v>231.401031</v>
      </c>
      <c r="I68" s="17">
        <v>90.426979</v>
      </c>
      <c r="J68" s="17">
        <v>90.426979</v>
      </c>
      <c r="K68" s="18">
        <v>0.39078</v>
      </c>
      <c r="L68" s="17">
        <v>0</v>
      </c>
      <c r="M68" s="18">
        <v>0</v>
      </c>
      <c r="N68" s="7" t="s">
        <v>41</v>
      </c>
      <c r="O68" s="7" t="s">
        <v>579</v>
      </c>
      <c r="P68" s="7" t="s">
        <v>580</v>
      </c>
      <c r="Q68" s="7" t="s">
        <v>581</v>
      </c>
      <c r="R68" s="7" t="s">
        <v>45</v>
      </c>
      <c r="S68" s="7" t="s">
        <v>45</v>
      </c>
      <c r="T68" s="7" t="s">
        <v>46</v>
      </c>
      <c r="U68" s="7" t="s">
        <v>58</v>
      </c>
      <c r="V68" s="7" t="s">
        <v>58</v>
      </c>
      <c r="W68" s="7" t="s">
        <v>58</v>
      </c>
      <c r="X68" s="7" t="s">
        <v>48</v>
      </c>
      <c r="Y68" s="7" t="s">
        <v>48</v>
      </c>
      <c r="Z68" s="7" t="s">
        <v>48</v>
      </c>
      <c r="AA68" s="7" t="s">
        <v>62</v>
      </c>
      <c r="AB68" s="7" t="s">
        <v>582</v>
      </c>
      <c r="AC68" s="7" t="s">
        <v>51</v>
      </c>
      <c r="AD68" s="7" t="s">
        <v>52</v>
      </c>
      <c r="AE68" s="7" t="s">
        <v>320</v>
      </c>
      <c r="AF68" s="7" t="s">
        <v>41</v>
      </c>
      <c r="AG68" s="7" t="s">
        <v>583</v>
      </c>
    </row>
    <row r="69" ht="42.75" spans="1:33">
      <c r="A69" s="7" t="s">
        <v>584</v>
      </c>
      <c r="B69" s="16" t="s">
        <v>585</v>
      </c>
      <c r="C69" s="7" t="s">
        <v>129</v>
      </c>
      <c r="D69" s="7" t="s">
        <v>130</v>
      </c>
      <c r="E69" s="7" t="s">
        <v>91</v>
      </c>
      <c r="F69" s="7" t="s">
        <v>92</v>
      </c>
      <c r="G69" s="7" t="s">
        <v>586</v>
      </c>
      <c r="H69" s="17">
        <v>253.792389</v>
      </c>
      <c r="I69" s="17">
        <v>77.812119</v>
      </c>
      <c r="J69" s="17">
        <v>77.812119</v>
      </c>
      <c r="K69" s="18">
        <v>0.306598</v>
      </c>
      <c r="L69" s="17">
        <v>0</v>
      </c>
      <c r="M69" s="18">
        <v>0</v>
      </c>
      <c r="N69" s="7" t="s">
        <v>41</v>
      </c>
      <c r="O69" s="7" t="s">
        <v>587</v>
      </c>
      <c r="P69" s="7" t="s">
        <v>588</v>
      </c>
      <c r="Q69" s="7" t="s">
        <v>589</v>
      </c>
      <c r="R69" s="7" t="s">
        <v>45</v>
      </c>
      <c r="S69" s="7" t="s">
        <v>45</v>
      </c>
      <c r="T69" s="7" t="s">
        <v>46</v>
      </c>
      <c r="U69" s="7" t="s">
        <v>130</v>
      </c>
      <c r="V69" s="7" t="s">
        <v>130</v>
      </c>
      <c r="W69" s="7" t="s">
        <v>130</v>
      </c>
      <c r="X69" s="7" t="s">
        <v>48</v>
      </c>
      <c r="Y69" s="7" t="s">
        <v>134</v>
      </c>
      <c r="Z69" s="7" t="s">
        <v>134</v>
      </c>
      <c r="AA69" s="7" t="s">
        <v>135</v>
      </c>
      <c r="AB69" s="7" t="s">
        <v>590</v>
      </c>
      <c r="AC69" s="7" t="s">
        <v>51</v>
      </c>
      <c r="AD69" s="7" t="s">
        <v>52</v>
      </c>
      <c r="AE69" s="7" t="s">
        <v>591</v>
      </c>
      <c r="AF69" s="7" t="s">
        <v>41</v>
      </c>
      <c r="AG69" s="7" t="s">
        <v>592</v>
      </c>
    </row>
    <row r="70" ht="42.75" spans="1:33">
      <c r="A70" s="7" t="s">
        <v>593</v>
      </c>
      <c r="B70" s="16" t="s">
        <v>585</v>
      </c>
      <c r="C70" s="7" t="s">
        <v>129</v>
      </c>
      <c r="D70" s="7" t="s">
        <v>130</v>
      </c>
      <c r="E70" s="7" t="s">
        <v>91</v>
      </c>
      <c r="F70" s="7" t="s">
        <v>92</v>
      </c>
      <c r="G70" s="7" t="s">
        <v>586</v>
      </c>
      <c r="H70" s="17">
        <v>253.792389</v>
      </c>
      <c r="I70" s="17">
        <v>77.812119</v>
      </c>
      <c r="J70" s="17">
        <v>77.812119</v>
      </c>
      <c r="K70" s="18">
        <v>0.306598</v>
      </c>
      <c r="L70" s="17">
        <v>0</v>
      </c>
      <c r="M70" s="18">
        <v>0</v>
      </c>
      <c r="N70" s="7" t="s">
        <v>41</v>
      </c>
      <c r="O70" s="7" t="s">
        <v>594</v>
      </c>
      <c r="P70" s="7" t="s">
        <v>595</v>
      </c>
      <c r="Q70" s="7" t="s">
        <v>596</v>
      </c>
      <c r="R70" s="7" t="s">
        <v>45</v>
      </c>
      <c r="S70" s="7" t="s">
        <v>45</v>
      </c>
      <c r="T70" s="7" t="s">
        <v>46</v>
      </c>
      <c r="U70" s="7" t="s">
        <v>130</v>
      </c>
      <c r="V70" s="7" t="s">
        <v>130</v>
      </c>
      <c r="W70" s="7" t="s">
        <v>130</v>
      </c>
      <c r="X70" s="7" t="s">
        <v>48</v>
      </c>
      <c r="Y70" s="7" t="s">
        <v>134</v>
      </c>
      <c r="Z70" s="7" t="s">
        <v>134</v>
      </c>
      <c r="AA70" s="7" t="s">
        <v>135</v>
      </c>
      <c r="AB70" s="7" t="s">
        <v>597</v>
      </c>
      <c r="AC70" s="7" t="s">
        <v>51</v>
      </c>
      <c r="AD70" s="7" t="s">
        <v>64</v>
      </c>
      <c r="AE70" s="7" t="s">
        <v>598</v>
      </c>
      <c r="AF70" s="7" t="s">
        <v>165</v>
      </c>
      <c r="AG70" s="7" t="s">
        <v>599</v>
      </c>
    </row>
    <row r="71" ht="42.75" spans="1:33">
      <c r="A71" s="7" t="s">
        <v>600</v>
      </c>
      <c r="B71" s="16" t="s">
        <v>585</v>
      </c>
      <c r="C71" s="7" t="s">
        <v>129</v>
      </c>
      <c r="D71" s="7" t="s">
        <v>130</v>
      </c>
      <c r="E71" s="7" t="s">
        <v>91</v>
      </c>
      <c r="F71" s="7" t="s">
        <v>92</v>
      </c>
      <c r="G71" s="7" t="s">
        <v>586</v>
      </c>
      <c r="H71" s="17">
        <v>253.792389</v>
      </c>
      <c r="I71" s="17">
        <v>77.812119</v>
      </c>
      <c r="J71" s="17">
        <v>77.812119</v>
      </c>
      <c r="K71" s="18">
        <v>0.306598</v>
      </c>
      <c r="L71" s="17">
        <v>0</v>
      </c>
      <c r="M71" s="18">
        <v>0</v>
      </c>
      <c r="N71" s="7" t="s">
        <v>41</v>
      </c>
      <c r="O71" s="7" t="s">
        <v>601</v>
      </c>
      <c r="P71" s="7" t="s">
        <v>602</v>
      </c>
      <c r="Q71" s="7" t="s">
        <v>603</v>
      </c>
      <c r="R71" s="7" t="s">
        <v>45</v>
      </c>
      <c r="S71" s="7" t="s">
        <v>45</v>
      </c>
      <c r="T71" s="7" t="s">
        <v>46</v>
      </c>
      <c r="U71" s="7" t="s">
        <v>130</v>
      </c>
      <c r="V71" s="7" t="s">
        <v>130</v>
      </c>
      <c r="W71" s="7" t="s">
        <v>130</v>
      </c>
      <c r="X71" s="7" t="s">
        <v>48</v>
      </c>
      <c r="Y71" s="7" t="s">
        <v>134</v>
      </c>
      <c r="Z71" s="7" t="s">
        <v>134</v>
      </c>
      <c r="AA71" s="7" t="s">
        <v>135</v>
      </c>
      <c r="AB71" s="7" t="s">
        <v>604</v>
      </c>
      <c r="AC71" s="7" t="s">
        <v>51</v>
      </c>
      <c r="AD71" s="7" t="s">
        <v>243</v>
      </c>
      <c r="AE71" s="7" t="s">
        <v>320</v>
      </c>
      <c r="AF71" s="7" t="s">
        <v>75</v>
      </c>
      <c r="AG71" s="7" t="s">
        <v>605</v>
      </c>
    </row>
    <row r="72" ht="42.75" spans="1:33">
      <c r="A72" s="7" t="s">
        <v>606</v>
      </c>
      <c r="B72" s="16" t="s">
        <v>607</v>
      </c>
      <c r="C72" s="7" t="s">
        <v>129</v>
      </c>
      <c r="D72" s="7" t="s">
        <v>130</v>
      </c>
      <c r="E72" s="7" t="s">
        <v>91</v>
      </c>
      <c r="F72" s="7" t="s">
        <v>121</v>
      </c>
      <c r="G72" s="7" t="s">
        <v>608</v>
      </c>
      <c r="H72" s="17">
        <v>236.187988</v>
      </c>
      <c r="I72" s="17">
        <v>29.127611</v>
      </c>
      <c r="J72" s="17">
        <v>29.127611</v>
      </c>
      <c r="K72" s="18">
        <v>0.123324</v>
      </c>
      <c r="L72" s="17">
        <v>0</v>
      </c>
      <c r="M72" s="18">
        <v>0</v>
      </c>
      <c r="N72" s="7" t="s">
        <v>41</v>
      </c>
      <c r="O72" s="7" t="s">
        <v>609</v>
      </c>
      <c r="P72" s="7" t="s">
        <v>610</v>
      </c>
      <c r="Q72" s="7" t="s">
        <v>611</v>
      </c>
      <c r="R72" s="7" t="s">
        <v>45</v>
      </c>
      <c r="S72" s="7" t="s">
        <v>45</v>
      </c>
      <c r="T72" s="7" t="s">
        <v>46</v>
      </c>
      <c r="U72" s="7" t="s">
        <v>130</v>
      </c>
      <c r="V72" s="7" t="s">
        <v>130</v>
      </c>
      <c r="W72" s="7" t="s">
        <v>130</v>
      </c>
      <c r="X72" s="7" t="s">
        <v>48</v>
      </c>
      <c r="Y72" s="7" t="s">
        <v>134</v>
      </c>
      <c r="Z72" s="7" t="s">
        <v>134</v>
      </c>
      <c r="AA72" s="7" t="s">
        <v>135</v>
      </c>
      <c r="AB72" s="7" t="s">
        <v>612</v>
      </c>
      <c r="AC72" s="7" t="s">
        <v>51</v>
      </c>
      <c r="AD72" s="7" t="s">
        <v>64</v>
      </c>
      <c r="AE72" s="7" t="s">
        <v>195</v>
      </c>
      <c r="AF72" s="7" t="s">
        <v>188</v>
      </c>
      <c r="AG72" s="7" t="s">
        <v>613</v>
      </c>
    </row>
    <row r="73" ht="42.75" spans="1:33">
      <c r="A73" s="7" t="s">
        <v>614</v>
      </c>
      <c r="B73" s="16" t="s">
        <v>607</v>
      </c>
      <c r="C73" s="7" t="s">
        <v>129</v>
      </c>
      <c r="D73" s="7" t="s">
        <v>130</v>
      </c>
      <c r="E73" s="7" t="s">
        <v>91</v>
      </c>
      <c r="F73" s="7" t="s">
        <v>121</v>
      </c>
      <c r="G73" s="7" t="s">
        <v>608</v>
      </c>
      <c r="H73" s="17">
        <v>236.187988</v>
      </c>
      <c r="I73" s="17">
        <v>29.127611</v>
      </c>
      <c r="J73" s="17">
        <v>29.127611</v>
      </c>
      <c r="K73" s="18">
        <v>0.123324</v>
      </c>
      <c r="L73" s="17">
        <v>0</v>
      </c>
      <c r="M73" s="18">
        <v>0</v>
      </c>
      <c r="N73" s="7" t="s">
        <v>41</v>
      </c>
      <c r="O73" s="7" t="s">
        <v>615</v>
      </c>
      <c r="P73" s="7" t="s">
        <v>616</v>
      </c>
      <c r="Q73" s="7" t="s">
        <v>617</v>
      </c>
      <c r="R73" s="7" t="s">
        <v>45</v>
      </c>
      <c r="S73" s="7" t="s">
        <v>45</v>
      </c>
      <c r="T73" s="7" t="s">
        <v>46</v>
      </c>
      <c r="U73" s="7" t="s">
        <v>130</v>
      </c>
      <c r="V73" s="7" t="s">
        <v>227</v>
      </c>
      <c r="W73" s="7" t="s">
        <v>130</v>
      </c>
      <c r="X73" s="7" t="s">
        <v>48</v>
      </c>
      <c r="Y73" s="7" t="s">
        <v>134</v>
      </c>
      <c r="Z73" s="7" t="s">
        <v>134</v>
      </c>
      <c r="AA73" s="7" t="s">
        <v>135</v>
      </c>
      <c r="AB73" s="7" t="s">
        <v>618</v>
      </c>
      <c r="AC73" s="7" t="s">
        <v>51</v>
      </c>
      <c r="AD73" s="7" t="s">
        <v>52</v>
      </c>
      <c r="AE73" s="7" t="s">
        <v>549</v>
      </c>
      <c r="AF73" s="7" t="s">
        <v>41</v>
      </c>
      <c r="AG73" s="7" t="s">
        <v>619</v>
      </c>
    </row>
    <row r="74" ht="28.5" spans="1:33">
      <c r="A74" s="7" t="s">
        <v>620</v>
      </c>
      <c r="B74" s="16" t="s">
        <v>607</v>
      </c>
      <c r="C74" s="7" t="s">
        <v>129</v>
      </c>
      <c r="D74" s="7" t="s">
        <v>158</v>
      </c>
      <c r="E74" s="7" t="s">
        <v>91</v>
      </c>
      <c r="F74" s="7" t="s">
        <v>121</v>
      </c>
      <c r="G74" s="7" t="s">
        <v>608</v>
      </c>
      <c r="H74" s="17">
        <v>236.187988</v>
      </c>
      <c r="I74" s="17">
        <v>29.127611</v>
      </c>
      <c r="J74" s="17">
        <v>29.127611</v>
      </c>
      <c r="K74" s="18">
        <v>0.123324</v>
      </c>
      <c r="L74" s="17">
        <v>0</v>
      </c>
      <c r="M74" s="18">
        <v>0</v>
      </c>
      <c r="N74" s="7" t="s">
        <v>41</v>
      </c>
      <c r="O74" s="7" t="s">
        <v>621</v>
      </c>
      <c r="P74" s="7" t="s">
        <v>622</v>
      </c>
      <c r="Q74" s="7" t="s">
        <v>623</v>
      </c>
      <c r="R74" s="7" t="s">
        <v>45</v>
      </c>
      <c r="S74" s="7" t="s">
        <v>45</v>
      </c>
      <c r="T74" s="7" t="s">
        <v>46</v>
      </c>
      <c r="U74" s="7" t="s">
        <v>158</v>
      </c>
      <c r="V74" s="7" t="s">
        <v>158</v>
      </c>
      <c r="W74" s="7" t="s">
        <v>158</v>
      </c>
      <c r="X74" s="7" t="s">
        <v>48</v>
      </c>
      <c r="Y74" s="7" t="s">
        <v>134</v>
      </c>
      <c r="Z74" s="7" t="s">
        <v>134</v>
      </c>
      <c r="AA74" s="7" t="s">
        <v>162</v>
      </c>
      <c r="AB74" s="7" t="s">
        <v>624</v>
      </c>
      <c r="AC74" s="7" t="s">
        <v>51</v>
      </c>
      <c r="AD74" s="7" t="s">
        <v>64</v>
      </c>
      <c r="AE74" s="7" t="s">
        <v>366</v>
      </c>
      <c r="AF74" s="7" t="s">
        <v>482</v>
      </c>
      <c r="AG74" s="7" t="s">
        <v>625</v>
      </c>
    </row>
    <row r="75" ht="42.75" spans="1:33">
      <c r="A75" s="7" t="s">
        <v>626</v>
      </c>
      <c r="B75" s="16" t="s">
        <v>607</v>
      </c>
      <c r="C75" s="7" t="s">
        <v>129</v>
      </c>
      <c r="D75" s="7" t="s">
        <v>130</v>
      </c>
      <c r="E75" s="7" t="s">
        <v>91</v>
      </c>
      <c r="F75" s="7" t="s">
        <v>121</v>
      </c>
      <c r="G75" s="7" t="s">
        <v>608</v>
      </c>
      <c r="H75" s="17">
        <v>236.187988</v>
      </c>
      <c r="I75" s="17">
        <v>29.127611</v>
      </c>
      <c r="J75" s="17">
        <v>29.127611</v>
      </c>
      <c r="K75" s="18">
        <v>0.123324</v>
      </c>
      <c r="L75" s="17">
        <v>0</v>
      </c>
      <c r="M75" s="18">
        <v>0</v>
      </c>
      <c r="N75" s="7" t="s">
        <v>41</v>
      </c>
      <c r="O75" s="7" t="s">
        <v>627</v>
      </c>
      <c r="P75" s="7" t="s">
        <v>628</v>
      </c>
      <c r="Q75" s="7" t="s">
        <v>629</v>
      </c>
      <c r="R75" s="7" t="s">
        <v>45</v>
      </c>
      <c r="S75" s="7" t="s">
        <v>45</v>
      </c>
      <c r="T75" s="7" t="s">
        <v>46</v>
      </c>
      <c r="U75" s="7" t="s">
        <v>130</v>
      </c>
      <c r="V75" s="7" t="s">
        <v>130</v>
      </c>
      <c r="W75" s="7" t="s">
        <v>130</v>
      </c>
      <c r="X75" s="7" t="s">
        <v>48</v>
      </c>
      <c r="Y75" s="7" t="s">
        <v>134</v>
      </c>
      <c r="Z75" s="7" t="s">
        <v>134</v>
      </c>
      <c r="AA75" s="7" t="s">
        <v>135</v>
      </c>
      <c r="AB75" s="7" t="s">
        <v>630</v>
      </c>
      <c r="AC75" s="7" t="s">
        <v>51</v>
      </c>
      <c r="AD75" s="7" t="s">
        <v>277</v>
      </c>
      <c r="AE75" s="7" t="s">
        <v>631</v>
      </c>
      <c r="AF75" s="7" t="s">
        <v>41</v>
      </c>
      <c r="AG75" s="7" t="s">
        <v>632</v>
      </c>
    </row>
    <row r="76" ht="42.75" spans="1:33">
      <c r="A76" s="7" t="s">
        <v>633</v>
      </c>
      <c r="B76" s="16" t="s">
        <v>634</v>
      </c>
      <c r="C76" s="7" t="s">
        <v>129</v>
      </c>
      <c r="D76" s="7" t="s">
        <v>130</v>
      </c>
      <c r="E76" s="7" t="s">
        <v>91</v>
      </c>
      <c r="F76" s="7" t="s">
        <v>121</v>
      </c>
      <c r="G76" s="7" t="s">
        <v>635</v>
      </c>
      <c r="H76" s="17">
        <v>323.682983</v>
      </c>
      <c r="I76" s="17">
        <v>12.195758</v>
      </c>
      <c r="J76" s="17">
        <v>12.195758</v>
      </c>
      <c r="K76" s="18">
        <v>0.037678</v>
      </c>
      <c r="L76" s="17">
        <v>0</v>
      </c>
      <c r="M76" s="18">
        <v>0</v>
      </c>
      <c r="N76" s="7" t="s">
        <v>41</v>
      </c>
      <c r="O76" s="7" t="s">
        <v>636</v>
      </c>
      <c r="P76" s="7" t="s">
        <v>637</v>
      </c>
      <c r="Q76" s="7" t="s">
        <v>638</v>
      </c>
      <c r="R76" s="7" t="s">
        <v>45</v>
      </c>
      <c r="S76" s="7" t="s">
        <v>45</v>
      </c>
      <c r="T76" s="7" t="s">
        <v>46</v>
      </c>
      <c r="U76" s="7" t="s">
        <v>130</v>
      </c>
      <c r="V76" s="7" t="s">
        <v>130</v>
      </c>
      <c r="W76" s="7" t="s">
        <v>130</v>
      </c>
      <c r="X76" s="7" t="s">
        <v>48</v>
      </c>
      <c r="Y76" s="7" t="s">
        <v>134</v>
      </c>
      <c r="Z76" s="7" t="s">
        <v>134</v>
      </c>
      <c r="AA76" s="7" t="s">
        <v>135</v>
      </c>
      <c r="AB76" s="7" t="s">
        <v>639</v>
      </c>
      <c r="AC76" s="7" t="s">
        <v>51</v>
      </c>
      <c r="AD76" s="7" t="s">
        <v>52</v>
      </c>
      <c r="AE76" s="7" t="s">
        <v>421</v>
      </c>
      <c r="AF76" s="7" t="s">
        <v>75</v>
      </c>
      <c r="AG76" s="7" t="s">
        <v>640</v>
      </c>
    </row>
    <row r="77" ht="42.75" spans="1:33">
      <c r="A77" s="7" t="s">
        <v>641</v>
      </c>
      <c r="B77" s="16" t="s">
        <v>634</v>
      </c>
      <c r="C77" s="7" t="s">
        <v>129</v>
      </c>
      <c r="D77" s="7" t="s">
        <v>130</v>
      </c>
      <c r="E77" s="7" t="s">
        <v>91</v>
      </c>
      <c r="F77" s="7" t="s">
        <v>121</v>
      </c>
      <c r="G77" s="7" t="s">
        <v>635</v>
      </c>
      <c r="H77" s="17">
        <v>323.682983</v>
      </c>
      <c r="I77" s="17">
        <v>12.195758</v>
      </c>
      <c r="J77" s="17">
        <v>12.195758</v>
      </c>
      <c r="K77" s="18">
        <v>0.037678</v>
      </c>
      <c r="L77" s="17">
        <v>0</v>
      </c>
      <c r="M77" s="18">
        <v>0</v>
      </c>
      <c r="N77" s="7" t="s">
        <v>41</v>
      </c>
      <c r="O77" s="7" t="s">
        <v>642</v>
      </c>
      <c r="P77" s="7" t="s">
        <v>643</v>
      </c>
      <c r="Q77" s="7" t="s">
        <v>644</v>
      </c>
      <c r="R77" s="7" t="s">
        <v>45</v>
      </c>
      <c r="S77" s="7" t="s">
        <v>45</v>
      </c>
      <c r="T77" s="7" t="s">
        <v>46</v>
      </c>
      <c r="U77" s="7" t="s">
        <v>130</v>
      </c>
      <c r="V77" s="7" t="s">
        <v>130</v>
      </c>
      <c r="W77" s="7" t="s">
        <v>130</v>
      </c>
      <c r="X77" s="7" t="s">
        <v>48</v>
      </c>
      <c r="Y77" s="7" t="s">
        <v>134</v>
      </c>
      <c r="Z77" s="7" t="s">
        <v>134</v>
      </c>
      <c r="AA77" s="7" t="s">
        <v>135</v>
      </c>
      <c r="AB77" s="7" t="s">
        <v>645</v>
      </c>
      <c r="AC77" s="7" t="s">
        <v>51</v>
      </c>
      <c r="AD77" s="7" t="s">
        <v>52</v>
      </c>
      <c r="AE77" s="7" t="s">
        <v>254</v>
      </c>
      <c r="AF77" s="7" t="s">
        <v>75</v>
      </c>
      <c r="AG77" s="7" t="s">
        <v>646</v>
      </c>
    </row>
    <row r="78" ht="42.75" spans="1:33">
      <c r="A78" s="7" t="s">
        <v>647</v>
      </c>
      <c r="B78" s="16" t="s">
        <v>634</v>
      </c>
      <c r="C78" s="7" t="s">
        <v>129</v>
      </c>
      <c r="D78" s="7" t="s">
        <v>130</v>
      </c>
      <c r="E78" s="7" t="s">
        <v>91</v>
      </c>
      <c r="F78" s="7" t="s">
        <v>121</v>
      </c>
      <c r="G78" s="7" t="s">
        <v>635</v>
      </c>
      <c r="H78" s="17">
        <v>323.682983</v>
      </c>
      <c r="I78" s="17">
        <v>12.195758</v>
      </c>
      <c r="J78" s="17">
        <v>12.195758</v>
      </c>
      <c r="K78" s="18">
        <v>0.037678</v>
      </c>
      <c r="L78" s="17">
        <v>0</v>
      </c>
      <c r="M78" s="18">
        <v>0</v>
      </c>
      <c r="N78" s="7" t="s">
        <v>41</v>
      </c>
      <c r="O78" s="7" t="s">
        <v>648</v>
      </c>
      <c r="P78" s="7" t="s">
        <v>649</v>
      </c>
      <c r="Q78" s="7" t="s">
        <v>650</v>
      </c>
      <c r="R78" s="7" t="s">
        <v>45</v>
      </c>
      <c r="S78" s="7" t="s">
        <v>45</v>
      </c>
      <c r="T78" s="7" t="s">
        <v>46</v>
      </c>
      <c r="U78" s="7" t="s">
        <v>130</v>
      </c>
      <c r="V78" s="7" t="s">
        <v>130</v>
      </c>
      <c r="W78" s="7" t="s">
        <v>130</v>
      </c>
      <c r="X78" s="7" t="s">
        <v>48</v>
      </c>
      <c r="Y78" s="7" t="s">
        <v>134</v>
      </c>
      <c r="Z78" s="7" t="s">
        <v>134</v>
      </c>
      <c r="AA78" s="7" t="s">
        <v>135</v>
      </c>
      <c r="AB78" s="7" t="s">
        <v>651</v>
      </c>
      <c r="AC78" s="7" t="s">
        <v>51</v>
      </c>
      <c r="AD78" s="7" t="s">
        <v>52</v>
      </c>
      <c r="AE78" s="7" t="s">
        <v>421</v>
      </c>
      <c r="AF78" s="7" t="s">
        <v>66</v>
      </c>
      <c r="AG78" s="7" t="s">
        <v>652</v>
      </c>
    </row>
    <row r="79" ht="42.75" spans="1:33">
      <c r="A79" s="7" t="s">
        <v>653</v>
      </c>
      <c r="B79" s="16" t="s">
        <v>654</v>
      </c>
      <c r="C79" s="7" t="s">
        <v>129</v>
      </c>
      <c r="D79" s="7" t="s">
        <v>130</v>
      </c>
      <c r="E79" s="7" t="s">
        <v>91</v>
      </c>
      <c r="F79" s="7" t="s">
        <v>121</v>
      </c>
      <c r="G79" s="7" t="s">
        <v>655</v>
      </c>
      <c r="H79" s="17">
        <v>253.71109</v>
      </c>
      <c r="I79" s="17">
        <v>7.644562</v>
      </c>
      <c r="J79" s="17">
        <v>7.644562</v>
      </c>
      <c r="K79" s="18">
        <v>0.030131</v>
      </c>
      <c r="L79" s="17">
        <v>0</v>
      </c>
      <c r="M79" s="18">
        <v>0</v>
      </c>
      <c r="N79" s="7" t="s">
        <v>41</v>
      </c>
      <c r="O79" s="7" t="s">
        <v>656</v>
      </c>
      <c r="P79" s="7" t="s">
        <v>657</v>
      </c>
      <c r="Q79" s="7" t="s">
        <v>658</v>
      </c>
      <c r="R79" s="7" t="s">
        <v>45</v>
      </c>
      <c r="S79" s="7" t="s">
        <v>45</v>
      </c>
      <c r="T79" s="7" t="s">
        <v>46</v>
      </c>
      <c r="U79" s="7" t="s">
        <v>130</v>
      </c>
      <c r="V79" s="7" t="s">
        <v>130</v>
      </c>
      <c r="W79" s="7" t="s">
        <v>130</v>
      </c>
      <c r="X79" s="7" t="s">
        <v>48</v>
      </c>
      <c r="Y79" s="7" t="s">
        <v>134</v>
      </c>
      <c r="Z79" s="7" t="s">
        <v>134</v>
      </c>
      <c r="AA79" s="7" t="s">
        <v>135</v>
      </c>
      <c r="AB79" s="7" t="s">
        <v>659</v>
      </c>
      <c r="AC79" s="7" t="s">
        <v>51</v>
      </c>
      <c r="AD79" s="7" t="s">
        <v>52</v>
      </c>
      <c r="AE79" s="7" t="s">
        <v>204</v>
      </c>
      <c r="AF79" s="7" t="s">
        <v>75</v>
      </c>
      <c r="AG79" s="7" t="s">
        <v>660</v>
      </c>
    </row>
    <row r="80" ht="71.25" spans="1:33">
      <c r="A80" s="7" t="s">
        <v>661</v>
      </c>
      <c r="B80" s="16" t="s">
        <v>654</v>
      </c>
      <c r="C80" s="7" t="s">
        <v>129</v>
      </c>
      <c r="D80" s="7" t="s">
        <v>662</v>
      </c>
      <c r="E80" s="7" t="s">
        <v>91</v>
      </c>
      <c r="F80" s="7" t="s">
        <v>121</v>
      </c>
      <c r="G80" s="7" t="s">
        <v>655</v>
      </c>
      <c r="H80" s="17">
        <v>253.71109</v>
      </c>
      <c r="I80" s="17">
        <v>7.644562</v>
      </c>
      <c r="J80" s="17">
        <v>7.644562</v>
      </c>
      <c r="K80" s="18">
        <v>0.030131</v>
      </c>
      <c r="L80" s="17">
        <v>0</v>
      </c>
      <c r="M80" s="18">
        <v>0</v>
      </c>
      <c r="N80" s="7" t="s">
        <v>75</v>
      </c>
      <c r="O80" s="7" t="s">
        <v>663</v>
      </c>
      <c r="P80" s="7" t="s">
        <v>664</v>
      </c>
      <c r="Q80" s="7" t="s">
        <v>665</v>
      </c>
      <c r="R80" s="7" t="s">
        <v>45</v>
      </c>
      <c r="S80" s="7" t="s">
        <v>45</v>
      </c>
      <c r="T80" s="7" t="s">
        <v>46</v>
      </c>
      <c r="U80" s="7" t="s">
        <v>662</v>
      </c>
      <c r="V80" s="7" t="s">
        <v>662</v>
      </c>
      <c r="W80" s="7" t="s">
        <v>666</v>
      </c>
      <c r="X80" s="7" t="s">
        <v>48</v>
      </c>
      <c r="Y80" s="7" t="s">
        <v>134</v>
      </c>
      <c r="Z80" s="7" t="s">
        <v>134</v>
      </c>
      <c r="AA80" s="7" t="s">
        <v>667</v>
      </c>
      <c r="AB80" s="7" t="s">
        <v>668</v>
      </c>
      <c r="AC80" s="7" t="s">
        <v>51</v>
      </c>
      <c r="AD80" s="7" t="s">
        <v>669</v>
      </c>
      <c r="AE80" s="7" t="s">
        <v>670</v>
      </c>
      <c r="AF80" s="7" t="s">
        <v>671</v>
      </c>
      <c r="AG80" s="7" t="s">
        <v>672</v>
      </c>
    </row>
    <row r="81" ht="28.5" spans="1:33">
      <c r="A81" s="7" t="s">
        <v>673</v>
      </c>
      <c r="B81" s="16" t="s">
        <v>654</v>
      </c>
      <c r="C81" s="7" t="s">
        <v>129</v>
      </c>
      <c r="D81" s="7" t="s">
        <v>158</v>
      </c>
      <c r="E81" s="7" t="s">
        <v>91</v>
      </c>
      <c r="F81" s="7" t="s">
        <v>121</v>
      </c>
      <c r="G81" s="7" t="s">
        <v>655</v>
      </c>
      <c r="H81" s="17">
        <v>253.71109</v>
      </c>
      <c r="I81" s="17">
        <v>7.644562</v>
      </c>
      <c r="J81" s="17">
        <v>7.644562</v>
      </c>
      <c r="K81" s="18">
        <v>0.030131</v>
      </c>
      <c r="L81" s="17">
        <v>0</v>
      </c>
      <c r="M81" s="18">
        <v>0</v>
      </c>
      <c r="N81" s="7" t="s">
        <v>41</v>
      </c>
      <c r="O81" s="7" t="s">
        <v>674</v>
      </c>
      <c r="P81" s="7" t="s">
        <v>675</v>
      </c>
      <c r="Q81" s="7" t="s">
        <v>676</v>
      </c>
      <c r="R81" s="7" t="s">
        <v>45</v>
      </c>
      <c r="S81" s="7" t="s">
        <v>45</v>
      </c>
      <c r="T81" s="7" t="s">
        <v>46</v>
      </c>
      <c r="U81" s="7" t="s">
        <v>158</v>
      </c>
      <c r="V81" s="7" t="s">
        <v>158</v>
      </c>
      <c r="W81" s="7" t="s">
        <v>158</v>
      </c>
      <c r="X81" s="7" t="s">
        <v>48</v>
      </c>
      <c r="Y81" s="7" t="s">
        <v>134</v>
      </c>
      <c r="Z81" s="7" t="s">
        <v>134</v>
      </c>
      <c r="AA81" s="7" t="s">
        <v>162</v>
      </c>
      <c r="AB81" s="7" t="s">
        <v>677</v>
      </c>
      <c r="AC81" s="7" t="s">
        <v>51</v>
      </c>
      <c r="AD81" s="7" t="s">
        <v>64</v>
      </c>
      <c r="AE81" s="7" t="s">
        <v>366</v>
      </c>
      <c r="AF81" s="7" t="s">
        <v>165</v>
      </c>
      <c r="AG81" s="7" t="s">
        <v>678</v>
      </c>
    </row>
    <row r="82" ht="42.75" spans="1:33">
      <c r="A82" s="7" t="s">
        <v>679</v>
      </c>
      <c r="B82" s="16" t="s">
        <v>654</v>
      </c>
      <c r="C82" s="7" t="s">
        <v>129</v>
      </c>
      <c r="D82" s="7" t="s">
        <v>130</v>
      </c>
      <c r="E82" s="7" t="s">
        <v>91</v>
      </c>
      <c r="F82" s="7" t="s">
        <v>121</v>
      </c>
      <c r="G82" s="7" t="s">
        <v>655</v>
      </c>
      <c r="H82" s="17">
        <v>253.71109</v>
      </c>
      <c r="I82" s="17">
        <v>7.644562</v>
      </c>
      <c r="J82" s="17">
        <v>7.644562</v>
      </c>
      <c r="K82" s="18">
        <v>0.030131</v>
      </c>
      <c r="L82" s="17">
        <v>0</v>
      </c>
      <c r="M82" s="18">
        <v>0</v>
      </c>
      <c r="N82" s="7" t="s">
        <v>41</v>
      </c>
      <c r="O82" s="7" t="s">
        <v>680</v>
      </c>
      <c r="P82" s="7" t="s">
        <v>681</v>
      </c>
      <c r="Q82" s="7" t="s">
        <v>682</v>
      </c>
      <c r="R82" s="7" t="s">
        <v>45</v>
      </c>
      <c r="S82" s="7" t="s">
        <v>45</v>
      </c>
      <c r="T82" s="7" t="s">
        <v>46</v>
      </c>
      <c r="U82" s="7" t="s">
        <v>130</v>
      </c>
      <c r="V82" s="7" t="s">
        <v>130</v>
      </c>
      <c r="W82" s="7" t="s">
        <v>130</v>
      </c>
      <c r="X82" s="7" t="s">
        <v>48</v>
      </c>
      <c r="Y82" s="7" t="s">
        <v>134</v>
      </c>
      <c r="Z82" s="7" t="s">
        <v>134</v>
      </c>
      <c r="AA82" s="7" t="s">
        <v>135</v>
      </c>
      <c r="AB82" s="7" t="s">
        <v>683</v>
      </c>
      <c r="AC82" s="7" t="s">
        <v>51</v>
      </c>
      <c r="AD82" s="7" t="s">
        <v>52</v>
      </c>
      <c r="AE82" s="7" t="s">
        <v>684</v>
      </c>
      <c r="AF82" s="7" t="s">
        <v>41</v>
      </c>
      <c r="AG82" s="7" t="s">
        <v>685</v>
      </c>
    </row>
    <row r="83" ht="42.75" spans="1:33">
      <c r="A83" s="7" t="s">
        <v>686</v>
      </c>
      <c r="B83" s="16" t="s">
        <v>687</v>
      </c>
      <c r="C83" s="7" t="s">
        <v>129</v>
      </c>
      <c r="D83" s="7" t="s">
        <v>130</v>
      </c>
      <c r="E83" s="7" t="s">
        <v>91</v>
      </c>
      <c r="F83" s="7" t="s">
        <v>265</v>
      </c>
      <c r="G83" s="7" t="s">
        <v>688</v>
      </c>
      <c r="H83" s="17">
        <v>312.587494</v>
      </c>
      <c r="I83" s="17">
        <v>48.080185</v>
      </c>
      <c r="J83" s="17">
        <v>20.994383</v>
      </c>
      <c r="K83" s="18">
        <v>0.153814</v>
      </c>
      <c r="L83" s="17">
        <v>27.085802</v>
      </c>
      <c r="M83" s="18">
        <v>0.563346</v>
      </c>
      <c r="N83" s="7" t="s">
        <v>41</v>
      </c>
      <c r="O83" s="7" t="s">
        <v>689</v>
      </c>
      <c r="P83" s="7" t="s">
        <v>690</v>
      </c>
      <c r="Q83" s="7" t="s">
        <v>691</v>
      </c>
      <c r="R83" s="7" t="s">
        <v>45</v>
      </c>
      <c r="S83" s="7" t="s">
        <v>45</v>
      </c>
      <c r="T83" s="7" t="s">
        <v>46</v>
      </c>
      <c r="U83" s="7" t="s">
        <v>130</v>
      </c>
      <c r="V83" s="7" t="s">
        <v>130</v>
      </c>
      <c r="W83" s="7" t="s">
        <v>130</v>
      </c>
      <c r="X83" s="7" t="s">
        <v>48</v>
      </c>
      <c r="Y83" s="7" t="s">
        <v>134</v>
      </c>
      <c r="Z83" s="7" t="s">
        <v>134</v>
      </c>
      <c r="AA83" s="7" t="s">
        <v>135</v>
      </c>
      <c r="AB83" s="7" t="s">
        <v>692</v>
      </c>
      <c r="AC83" s="7" t="s">
        <v>51</v>
      </c>
      <c r="AD83" s="7" t="s">
        <v>64</v>
      </c>
      <c r="AE83" s="7" t="s">
        <v>375</v>
      </c>
      <c r="AF83" s="7" t="s">
        <v>66</v>
      </c>
      <c r="AG83" s="7" t="s">
        <v>693</v>
      </c>
    </row>
    <row r="84" ht="71.25" spans="1:33">
      <c r="A84" s="7" t="s">
        <v>694</v>
      </c>
      <c r="B84" s="16" t="s">
        <v>687</v>
      </c>
      <c r="C84" s="7" t="s">
        <v>129</v>
      </c>
      <c r="D84" s="7" t="s">
        <v>695</v>
      </c>
      <c r="E84" s="7" t="s">
        <v>91</v>
      </c>
      <c r="F84" s="7" t="s">
        <v>265</v>
      </c>
      <c r="G84" s="7" t="s">
        <v>688</v>
      </c>
      <c r="H84" s="17">
        <v>312.587494</v>
      </c>
      <c r="I84" s="17">
        <v>48.080185</v>
      </c>
      <c r="J84" s="17">
        <v>20.994383</v>
      </c>
      <c r="K84" s="18">
        <v>0.153814</v>
      </c>
      <c r="L84" s="17">
        <v>27.085802</v>
      </c>
      <c r="M84" s="18">
        <v>0.563346</v>
      </c>
      <c r="N84" s="7" t="s">
        <v>75</v>
      </c>
      <c r="O84" s="7" t="s">
        <v>696</v>
      </c>
      <c r="P84" s="7" t="s">
        <v>697</v>
      </c>
      <c r="Q84" s="7" t="s">
        <v>698</v>
      </c>
      <c r="R84" s="7" t="s">
        <v>45</v>
      </c>
      <c r="S84" s="7" t="s">
        <v>45</v>
      </c>
      <c r="T84" s="7" t="s">
        <v>46</v>
      </c>
      <c r="U84" s="7" t="s">
        <v>695</v>
      </c>
      <c r="V84" s="7" t="s">
        <v>695</v>
      </c>
      <c r="W84" s="7" t="s">
        <v>666</v>
      </c>
      <c r="X84" s="7" t="s">
        <v>48</v>
      </c>
      <c r="Y84" s="7" t="s">
        <v>134</v>
      </c>
      <c r="Z84" s="7" t="s">
        <v>134</v>
      </c>
      <c r="AA84" s="7" t="s">
        <v>667</v>
      </c>
      <c r="AB84" s="7" t="s">
        <v>699</v>
      </c>
      <c r="AC84" s="7" t="s">
        <v>51</v>
      </c>
      <c r="AD84" s="7" t="s">
        <v>700</v>
      </c>
      <c r="AE84" s="7" t="s">
        <v>701</v>
      </c>
      <c r="AF84" s="7" t="s">
        <v>702</v>
      </c>
      <c r="AG84" s="7" t="s">
        <v>703</v>
      </c>
    </row>
    <row r="85" ht="28.5" spans="1:33">
      <c r="A85" s="7" t="s">
        <v>704</v>
      </c>
      <c r="B85" s="16" t="s">
        <v>705</v>
      </c>
      <c r="C85" s="7" t="s">
        <v>129</v>
      </c>
      <c r="D85" s="7" t="s">
        <v>158</v>
      </c>
      <c r="E85" s="7" t="s">
        <v>91</v>
      </c>
      <c r="F85" s="7" t="s">
        <v>265</v>
      </c>
      <c r="G85" s="7" t="s">
        <v>706</v>
      </c>
      <c r="H85" s="17">
        <v>241.623322</v>
      </c>
      <c r="I85" s="17">
        <v>51.803616</v>
      </c>
      <c r="J85" s="17">
        <v>28.657412</v>
      </c>
      <c r="K85" s="18">
        <v>0.214398</v>
      </c>
      <c r="L85" s="17">
        <v>23.146204</v>
      </c>
      <c r="M85" s="18">
        <v>0.446807</v>
      </c>
      <c r="N85" s="7" t="s">
        <v>41</v>
      </c>
      <c r="O85" s="7" t="s">
        <v>707</v>
      </c>
      <c r="P85" s="7" t="s">
        <v>708</v>
      </c>
      <c r="Q85" s="7" t="s">
        <v>709</v>
      </c>
      <c r="R85" s="7" t="s">
        <v>45</v>
      </c>
      <c r="S85" s="7" t="s">
        <v>45</v>
      </c>
      <c r="T85" s="7" t="s">
        <v>46</v>
      </c>
      <c r="U85" s="7" t="s">
        <v>158</v>
      </c>
      <c r="V85" s="7" t="s">
        <v>158</v>
      </c>
      <c r="W85" s="7" t="s">
        <v>158</v>
      </c>
      <c r="X85" s="7" t="s">
        <v>48</v>
      </c>
      <c r="Y85" s="7" t="s">
        <v>134</v>
      </c>
      <c r="Z85" s="7" t="s">
        <v>134</v>
      </c>
      <c r="AA85" s="7" t="s">
        <v>162</v>
      </c>
      <c r="AB85" s="7" t="s">
        <v>710</v>
      </c>
      <c r="AC85" s="7" t="s">
        <v>51</v>
      </c>
      <c r="AD85" s="7" t="s">
        <v>64</v>
      </c>
      <c r="AE85" s="7" t="s">
        <v>366</v>
      </c>
      <c r="AF85" s="7" t="s">
        <v>66</v>
      </c>
      <c r="AG85" s="7" t="s">
        <v>711</v>
      </c>
    </row>
    <row r="86" ht="57" spans="1:33">
      <c r="A86" s="7" t="s">
        <v>712</v>
      </c>
      <c r="B86" s="16" t="s">
        <v>705</v>
      </c>
      <c r="C86" s="7" t="s">
        <v>129</v>
      </c>
      <c r="D86" s="7" t="s">
        <v>227</v>
      </c>
      <c r="E86" s="7" t="s">
        <v>91</v>
      </c>
      <c r="F86" s="7" t="s">
        <v>265</v>
      </c>
      <c r="G86" s="7" t="s">
        <v>706</v>
      </c>
      <c r="H86" s="17">
        <v>241.623322</v>
      </c>
      <c r="I86" s="17">
        <v>51.803616</v>
      </c>
      <c r="J86" s="17">
        <v>28.657412</v>
      </c>
      <c r="K86" s="18">
        <v>0.214398</v>
      </c>
      <c r="L86" s="17">
        <v>23.146204</v>
      </c>
      <c r="M86" s="18">
        <v>0.446807</v>
      </c>
      <c r="N86" s="7" t="s">
        <v>41</v>
      </c>
      <c r="O86" s="7" t="s">
        <v>713</v>
      </c>
      <c r="P86" s="7" t="s">
        <v>714</v>
      </c>
      <c r="Q86" s="7" t="s">
        <v>715</v>
      </c>
      <c r="R86" s="7" t="s">
        <v>45</v>
      </c>
      <c r="S86" s="7" t="s">
        <v>45</v>
      </c>
      <c r="T86" s="7" t="s">
        <v>46</v>
      </c>
      <c r="U86" s="7" t="s">
        <v>227</v>
      </c>
      <c r="V86" s="7" t="s">
        <v>227</v>
      </c>
      <c r="W86" s="7" t="s">
        <v>227</v>
      </c>
      <c r="X86" s="7" t="s">
        <v>48</v>
      </c>
      <c r="Y86" s="7" t="s">
        <v>134</v>
      </c>
      <c r="Z86" s="7" t="s">
        <v>134</v>
      </c>
      <c r="AA86" s="7" t="s">
        <v>241</v>
      </c>
      <c r="AB86" s="7" t="s">
        <v>716</v>
      </c>
      <c r="AC86" s="7" t="s">
        <v>51</v>
      </c>
      <c r="AD86" s="7" t="s">
        <v>243</v>
      </c>
      <c r="AE86" s="7" t="s">
        <v>717</v>
      </c>
      <c r="AF86" s="7" t="s">
        <v>718</v>
      </c>
      <c r="AG86" s="7" t="s">
        <v>719</v>
      </c>
    </row>
    <row r="87" ht="42.75" spans="1:33">
      <c r="A87" s="7" t="s">
        <v>720</v>
      </c>
      <c r="B87" s="16" t="s">
        <v>705</v>
      </c>
      <c r="C87" s="7" t="s">
        <v>129</v>
      </c>
      <c r="D87" s="7" t="s">
        <v>130</v>
      </c>
      <c r="E87" s="7" t="s">
        <v>91</v>
      </c>
      <c r="F87" s="7" t="s">
        <v>265</v>
      </c>
      <c r="G87" s="7" t="s">
        <v>706</v>
      </c>
      <c r="H87" s="17">
        <v>241.623322</v>
      </c>
      <c r="I87" s="17">
        <v>51.803616</v>
      </c>
      <c r="J87" s="17">
        <v>28.657412</v>
      </c>
      <c r="K87" s="18">
        <v>0.214398</v>
      </c>
      <c r="L87" s="17">
        <v>23.146204</v>
      </c>
      <c r="M87" s="18">
        <v>0.446807</v>
      </c>
      <c r="N87" s="7" t="s">
        <v>41</v>
      </c>
      <c r="O87" s="7" t="s">
        <v>721</v>
      </c>
      <c r="P87" s="7" t="s">
        <v>722</v>
      </c>
      <c r="Q87" s="7" t="s">
        <v>723</v>
      </c>
      <c r="R87" s="7" t="s">
        <v>45</v>
      </c>
      <c r="S87" s="7" t="s">
        <v>45</v>
      </c>
      <c r="T87" s="7" t="s">
        <v>46</v>
      </c>
      <c r="U87" s="7" t="s">
        <v>130</v>
      </c>
      <c r="V87" s="7" t="s">
        <v>130</v>
      </c>
      <c r="W87" s="7" t="s">
        <v>130</v>
      </c>
      <c r="X87" s="7" t="s">
        <v>48</v>
      </c>
      <c r="Y87" s="7" t="s">
        <v>134</v>
      </c>
      <c r="Z87" s="7" t="s">
        <v>134</v>
      </c>
      <c r="AA87" s="7" t="s">
        <v>135</v>
      </c>
      <c r="AB87" s="7" t="s">
        <v>724</v>
      </c>
      <c r="AC87" s="7" t="s">
        <v>51</v>
      </c>
      <c r="AD87" s="7" t="s">
        <v>52</v>
      </c>
      <c r="AE87" s="7" t="s">
        <v>725</v>
      </c>
      <c r="AF87" s="7" t="s">
        <v>41</v>
      </c>
      <c r="AG87" s="7" t="s">
        <v>726</v>
      </c>
    </row>
    <row r="88" ht="42.75" spans="1:33">
      <c r="A88" s="7" t="s">
        <v>727</v>
      </c>
      <c r="B88" s="16" t="s">
        <v>728</v>
      </c>
      <c r="C88" s="7" t="s">
        <v>729</v>
      </c>
      <c r="D88" s="7" t="s">
        <v>115</v>
      </c>
      <c r="E88" s="7" t="s">
        <v>91</v>
      </c>
      <c r="F88" s="7" t="s">
        <v>265</v>
      </c>
      <c r="G88" s="7" t="s">
        <v>730</v>
      </c>
      <c r="H88" s="17">
        <v>242.993927</v>
      </c>
      <c r="I88" s="17">
        <v>62.039352</v>
      </c>
      <c r="J88" s="17">
        <v>53.958992</v>
      </c>
      <c r="K88" s="18">
        <v>0.255312</v>
      </c>
      <c r="L88" s="17">
        <v>8.08036</v>
      </c>
      <c r="M88" s="18">
        <v>0.130246</v>
      </c>
      <c r="N88" s="7" t="s">
        <v>41</v>
      </c>
      <c r="O88" s="7" t="s">
        <v>731</v>
      </c>
      <c r="P88" s="7" t="s">
        <v>732</v>
      </c>
      <c r="Q88" s="7" t="s">
        <v>733</v>
      </c>
      <c r="R88" s="7" t="s">
        <v>45</v>
      </c>
      <c r="S88" s="7" t="s">
        <v>45</v>
      </c>
      <c r="T88" s="7" t="s">
        <v>46</v>
      </c>
      <c r="U88" s="7" t="s">
        <v>115</v>
      </c>
      <c r="V88" s="7" t="s">
        <v>115</v>
      </c>
      <c r="W88" s="7" t="s">
        <v>115</v>
      </c>
      <c r="X88" s="7" t="s">
        <v>48</v>
      </c>
      <c r="Y88" s="7" t="s">
        <v>48</v>
      </c>
      <c r="Z88" s="7" t="s">
        <v>48</v>
      </c>
      <c r="AA88" s="7" t="s">
        <v>734</v>
      </c>
      <c r="AB88" s="7" t="s">
        <v>735</v>
      </c>
      <c r="AC88" s="7" t="s">
        <v>51</v>
      </c>
      <c r="AD88" s="7" t="s">
        <v>736</v>
      </c>
      <c r="AE88" s="7" t="s">
        <v>137</v>
      </c>
      <c r="AF88" s="7" t="s">
        <v>75</v>
      </c>
      <c r="AG88" s="7" t="s">
        <v>737</v>
      </c>
    </row>
    <row r="89" ht="42.75" spans="1:33">
      <c r="A89" s="7" t="s">
        <v>738</v>
      </c>
      <c r="B89" s="16" t="s">
        <v>739</v>
      </c>
      <c r="C89" s="7" t="s">
        <v>129</v>
      </c>
      <c r="D89" s="7" t="s">
        <v>130</v>
      </c>
      <c r="E89" s="7" t="s">
        <v>91</v>
      </c>
      <c r="F89" s="7" t="s">
        <v>121</v>
      </c>
      <c r="G89" s="7" t="s">
        <v>740</v>
      </c>
      <c r="H89" s="17">
        <v>186.083954</v>
      </c>
      <c r="I89" s="17">
        <v>19.462749</v>
      </c>
      <c r="J89" s="17">
        <v>19.462749</v>
      </c>
      <c r="K89" s="18">
        <v>0.104591</v>
      </c>
      <c r="L89" s="17">
        <v>0</v>
      </c>
      <c r="M89" s="18">
        <v>0</v>
      </c>
      <c r="N89" s="7" t="s">
        <v>41</v>
      </c>
      <c r="O89" s="7" t="s">
        <v>741</v>
      </c>
      <c r="P89" s="7" t="s">
        <v>742</v>
      </c>
      <c r="Q89" s="7" t="s">
        <v>743</v>
      </c>
      <c r="R89" s="7" t="s">
        <v>45</v>
      </c>
      <c r="S89" s="7" t="s">
        <v>45</v>
      </c>
      <c r="T89" s="7" t="s">
        <v>46</v>
      </c>
      <c r="U89" s="7" t="s">
        <v>130</v>
      </c>
      <c r="V89" s="7" t="s">
        <v>130</v>
      </c>
      <c r="W89" s="7" t="s">
        <v>130</v>
      </c>
      <c r="X89" s="7" t="s">
        <v>48</v>
      </c>
      <c r="Y89" s="7" t="s">
        <v>134</v>
      </c>
      <c r="Z89" s="7" t="s">
        <v>134</v>
      </c>
      <c r="AA89" s="7" t="s">
        <v>135</v>
      </c>
      <c r="AB89" s="7" t="s">
        <v>744</v>
      </c>
      <c r="AC89" s="7" t="s">
        <v>51</v>
      </c>
      <c r="AD89" s="7" t="s">
        <v>52</v>
      </c>
      <c r="AE89" s="7" t="s">
        <v>117</v>
      </c>
      <c r="AF89" s="7" t="s">
        <v>75</v>
      </c>
      <c r="AG89" s="7" t="s">
        <v>745</v>
      </c>
    </row>
    <row r="90" ht="42.75" spans="1:33">
      <c r="A90" s="7" t="s">
        <v>746</v>
      </c>
      <c r="B90" s="16" t="s">
        <v>739</v>
      </c>
      <c r="C90" s="7" t="s">
        <v>129</v>
      </c>
      <c r="D90" s="7" t="s">
        <v>130</v>
      </c>
      <c r="E90" s="7" t="s">
        <v>91</v>
      </c>
      <c r="F90" s="7" t="s">
        <v>121</v>
      </c>
      <c r="G90" s="7" t="s">
        <v>740</v>
      </c>
      <c r="H90" s="17">
        <v>186.083954</v>
      </c>
      <c r="I90" s="17">
        <v>19.462749</v>
      </c>
      <c r="J90" s="17">
        <v>19.462749</v>
      </c>
      <c r="K90" s="18">
        <v>0.104591</v>
      </c>
      <c r="L90" s="17">
        <v>0</v>
      </c>
      <c r="M90" s="18">
        <v>0</v>
      </c>
      <c r="N90" s="7" t="s">
        <v>41</v>
      </c>
      <c r="O90" s="7" t="s">
        <v>747</v>
      </c>
      <c r="P90" s="7" t="s">
        <v>748</v>
      </c>
      <c r="Q90" s="7" t="s">
        <v>749</v>
      </c>
      <c r="R90" s="7" t="s">
        <v>45</v>
      </c>
      <c r="S90" s="7" t="s">
        <v>45</v>
      </c>
      <c r="T90" s="7" t="s">
        <v>46</v>
      </c>
      <c r="U90" s="7" t="s">
        <v>130</v>
      </c>
      <c r="V90" s="7" t="s">
        <v>130</v>
      </c>
      <c r="W90" s="7" t="s">
        <v>130</v>
      </c>
      <c r="X90" s="7" t="s">
        <v>48</v>
      </c>
      <c r="Y90" s="7" t="s">
        <v>134</v>
      </c>
      <c r="Z90" s="7" t="s">
        <v>134</v>
      </c>
      <c r="AA90" s="7" t="s">
        <v>135</v>
      </c>
      <c r="AB90" s="7" t="s">
        <v>750</v>
      </c>
      <c r="AC90" s="7" t="s">
        <v>51</v>
      </c>
      <c r="AD90" s="7" t="s">
        <v>52</v>
      </c>
      <c r="AE90" s="7" t="s">
        <v>137</v>
      </c>
      <c r="AF90" s="7" t="s">
        <v>75</v>
      </c>
      <c r="AG90" s="7" t="s">
        <v>751</v>
      </c>
    </row>
    <row r="91" ht="42.75" spans="1:33">
      <c r="A91" s="7" t="s">
        <v>752</v>
      </c>
      <c r="B91" s="16" t="s">
        <v>739</v>
      </c>
      <c r="C91" s="7" t="s">
        <v>129</v>
      </c>
      <c r="D91" s="7" t="s">
        <v>130</v>
      </c>
      <c r="E91" s="7" t="s">
        <v>91</v>
      </c>
      <c r="F91" s="7" t="s">
        <v>121</v>
      </c>
      <c r="G91" s="7" t="s">
        <v>740</v>
      </c>
      <c r="H91" s="17">
        <v>186.083954</v>
      </c>
      <c r="I91" s="17">
        <v>19.462749</v>
      </c>
      <c r="J91" s="17">
        <v>19.462749</v>
      </c>
      <c r="K91" s="18">
        <v>0.104591</v>
      </c>
      <c r="L91" s="17">
        <v>0</v>
      </c>
      <c r="M91" s="18">
        <v>0</v>
      </c>
      <c r="N91" s="7" t="s">
        <v>41</v>
      </c>
      <c r="O91" s="7" t="s">
        <v>753</v>
      </c>
      <c r="P91" s="7" t="s">
        <v>754</v>
      </c>
      <c r="Q91" s="7" t="s">
        <v>755</v>
      </c>
      <c r="R91" s="7" t="s">
        <v>45</v>
      </c>
      <c r="S91" s="7" t="s">
        <v>45</v>
      </c>
      <c r="T91" s="7" t="s">
        <v>46</v>
      </c>
      <c r="U91" s="7" t="s">
        <v>130</v>
      </c>
      <c r="V91" s="7" t="s">
        <v>130</v>
      </c>
      <c r="W91" s="7" t="s">
        <v>130</v>
      </c>
      <c r="X91" s="7" t="s">
        <v>48</v>
      </c>
      <c r="Y91" s="7" t="s">
        <v>134</v>
      </c>
      <c r="Z91" s="7" t="s">
        <v>134</v>
      </c>
      <c r="AA91" s="7" t="s">
        <v>135</v>
      </c>
      <c r="AB91" s="7" t="s">
        <v>756</v>
      </c>
      <c r="AC91" s="7" t="s">
        <v>51</v>
      </c>
      <c r="AD91" s="7" t="s">
        <v>52</v>
      </c>
      <c r="AE91" s="7" t="s">
        <v>757</v>
      </c>
      <c r="AF91" s="7" t="s">
        <v>75</v>
      </c>
      <c r="AG91" s="7" t="s">
        <v>758</v>
      </c>
    </row>
    <row r="92" ht="28.5" spans="1:33">
      <c r="A92" s="7" t="s">
        <v>759</v>
      </c>
      <c r="B92" s="16" t="s">
        <v>760</v>
      </c>
      <c r="C92" s="7" t="s">
        <v>129</v>
      </c>
      <c r="D92" s="7" t="s">
        <v>158</v>
      </c>
      <c r="E92" s="7" t="s">
        <v>91</v>
      </c>
      <c r="F92" s="7" t="s">
        <v>92</v>
      </c>
      <c r="G92" s="7" t="s">
        <v>761</v>
      </c>
      <c r="H92" s="17">
        <v>341.410583</v>
      </c>
      <c r="I92" s="17">
        <v>185.796509</v>
      </c>
      <c r="J92" s="17">
        <v>185.46167</v>
      </c>
      <c r="K92" s="18">
        <v>0.544203</v>
      </c>
      <c r="L92" s="17">
        <v>0.334839</v>
      </c>
      <c r="M92" s="18">
        <v>0.001802</v>
      </c>
      <c r="N92" s="7" t="s">
        <v>41</v>
      </c>
      <c r="O92" s="7" t="s">
        <v>762</v>
      </c>
      <c r="P92" s="7" t="s">
        <v>763</v>
      </c>
      <c r="Q92" s="7" t="s">
        <v>764</v>
      </c>
      <c r="R92" s="7" t="s">
        <v>45</v>
      </c>
      <c r="S92" s="7" t="s">
        <v>45</v>
      </c>
      <c r="T92" s="7" t="s">
        <v>46</v>
      </c>
      <c r="U92" s="7" t="s">
        <v>158</v>
      </c>
      <c r="V92" s="7" t="s">
        <v>158</v>
      </c>
      <c r="W92" s="7" t="s">
        <v>158</v>
      </c>
      <c r="X92" s="7" t="s">
        <v>48</v>
      </c>
      <c r="Y92" s="7" t="s">
        <v>134</v>
      </c>
      <c r="Z92" s="7" t="s">
        <v>134</v>
      </c>
      <c r="AA92" s="7" t="s">
        <v>162</v>
      </c>
      <c r="AB92" s="7" t="s">
        <v>765</v>
      </c>
      <c r="AC92" s="7" t="s">
        <v>51</v>
      </c>
      <c r="AD92" s="7" t="s">
        <v>277</v>
      </c>
      <c r="AE92" s="7" t="s">
        <v>766</v>
      </c>
      <c r="AF92" s="7" t="s">
        <v>41</v>
      </c>
      <c r="AG92" s="7" t="s">
        <v>767</v>
      </c>
    </row>
  </sheetData>
  <mergeCells count="2">
    <mergeCell ref="A1:AG1"/>
    <mergeCell ref="A2:AG2"/>
  </mergeCells>
  <conditionalFormatting sqref="E5:E92">
    <cfRule type="expression" dxfId="33" priority="5">
      <formula>E5="Structurally unresolved in 3C2I"</formula>
    </cfRule>
  </conditionalFormatting>
  <conditionalFormatting sqref="F5:F92">
    <cfRule type="expression" dxfId="34" priority="1">
      <formula>F5="Protein interior"</formula>
    </cfRule>
    <cfRule type="expression" dxfId="35" priority="2">
      <formula>F5="Protein surface"</formula>
    </cfRule>
    <cfRule type="expression" dxfId="36" priority="3">
      <formula>F5="Protein-DNA interface"</formula>
    </cfRule>
    <cfRule type="expression" dxfId="37" priority="4">
      <formula>F5="NA"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B56" sqref="B56"/>
    </sheetView>
  </sheetViews>
  <sheetFormatPr defaultColWidth="9" defaultRowHeight="14.25" outlineLevelCol="7"/>
  <cols>
    <col min="1" max="1" width="24" style="1" customWidth="1"/>
    <col min="2" max="2" width="18" style="1" customWidth="1"/>
    <col min="3" max="3" width="20" style="1" customWidth="1"/>
    <col min="4" max="5" width="22" style="1" customWidth="1"/>
    <col min="6" max="6" width="12" style="1" customWidth="1"/>
    <col min="7" max="7" width="16" style="1" customWidth="1"/>
    <col min="8" max="8" width="42" style="1" customWidth="1"/>
    <col min="9" max="16384" width="9" style="1"/>
  </cols>
  <sheetData>
    <row r="1" ht="26" customHeight="1" spans="1:8">
      <c r="A1" s="2" t="s">
        <v>768</v>
      </c>
      <c r="B1" s="2"/>
      <c r="C1" s="2"/>
      <c r="D1" s="2"/>
      <c r="E1" s="2"/>
      <c r="F1" s="2"/>
      <c r="G1" s="2"/>
      <c r="H1" s="2"/>
    </row>
    <row r="3" spans="1:8">
      <c r="A3" s="3" t="s">
        <v>769</v>
      </c>
      <c r="B3" s="3" t="s">
        <v>770</v>
      </c>
      <c r="C3" s="7"/>
      <c r="D3" s="7"/>
      <c r="E3" s="7"/>
      <c r="F3" s="7"/>
      <c r="G3" s="7"/>
      <c r="H3" s="7"/>
    </row>
    <row r="4" spans="1:8">
      <c r="A4" s="7" t="s">
        <v>771</v>
      </c>
      <c r="B4" s="7">
        <f>COUNTA(MBD_structure_classification!A5:A92)</f>
        <v>88</v>
      </c>
      <c r="C4" s="7"/>
      <c r="D4" s="7"/>
      <c r="E4" s="7"/>
      <c r="F4" s="7"/>
      <c r="G4" s="7"/>
      <c r="H4" s="7"/>
    </row>
    <row r="5" spans="1:8">
      <c r="A5" s="7" t="s">
        <v>91</v>
      </c>
      <c r="B5" s="7">
        <f>COUNTIF(MBD_structure_classification!E5:E92,"Resolved in 3C2I")</f>
        <v>84</v>
      </c>
      <c r="C5" s="7"/>
      <c r="D5" s="7"/>
      <c r="E5" s="7"/>
      <c r="F5" s="7"/>
      <c r="G5" s="7"/>
      <c r="H5" s="7"/>
    </row>
    <row r="6" spans="1:8">
      <c r="A6" s="7" t="s">
        <v>39</v>
      </c>
      <c r="B6" s="7">
        <f>COUNTIF(MBD_structure_classification!E5:E92,"Structurally unresolved in 3C2I")</f>
        <v>4</v>
      </c>
      <c r="C6" s="7"/>
      <c r="D6" s="7"/>
      <c r="E6" s="7"/>
      <c r="F6" s="7"/>
      <c r="G6" s="7"/>
      <c r="H6" s="7"/>
    </row>
    <row r="7" spans="1:8">
      <c r="A7" s="7" t="s">
        <v>772</v>
      </c>
      <c r="B7" s="11">
        <f>B5/B4</f>
        <v>0.954545454545455</v>
      </c>
      <c r="C7" s="7"/>
      <c r="D7" s="7"/>
      <c r="E7" s="7"/>
      <c r="F7" s="7"/>
      <c r="G7" s="7"/>
      <c r="H7" s="7"/>
    </row>
    <row r="8" spans="1:8">
      <c r="A8" s="7"/>
      <c r="B8" s="7"/>
      <c r="C8" s="7"/>
      <c r="D8" s="7"/>
      <c r="E8" s="7"/>
      <c r="F8" s="7"/>
      <c r="G8" s="7"/>
      <c r="H8" s="7"/>
    </row>
    <row r="9" spans="1:8">
      <c r="A9" s="3" t="s">
        <v>773</v>
      </c>
      <c r="B9" s="3" t="s">
        <v>774</v>
      </c>
      <c r="C9" s="3" t="s">
        <v>775</v>
      </c>
      <c r="D9" s="3" t="s">
        <v>776</v>
      </c>
      <c r="E9" s="7"/>
      <c r="F9" s="7"/>
      <c r="G9" s="7"/>
      <c r="H9" s="7"/>
    </row>
    <row r="10" spans="1:8">
      <c r="A10" s="7" t="s">
        <v>121</v>
      </c>
      <c r="B10" s="7">
        <f>COUNTIF(MBD_structure_classification!F5:F92,"Protein interior")</f>
        <v>40</v>
      </c>
      <c r="C10" s="11">
        <f>B10/$B$5</f>
        <v>0.476190476190476</v>
      </c>
      <c r="D10" s="11">
        <f>B10/$B$4</f>
        <v>0.454545454545455</v>
      </c>
      <c r="E10" s="7"/>
      <c r="F10" s="7"/>
      <c r="G10" s="7"/>
      <c r="H10" s="7"/>
    </row>
    <row r="11" spans="1:8">
      <c r="A11" s="7" t="s">
        <v>92</v>
      </c>
      <c r="B11" s="7">
        <f>COUNTIF(MBD_structure_classification!F5:F92,"Protein surface")</f>
        <v>17</v>
      </c>
      <c r="C11" s="11">
        <f>B11/$B$5</f>
        <v>0.202380952380952</v>
      </c>
      <c r="D11" s="11">
        <f>B11/$B$4</f>
        <v>0.193181818181818</v>
      </c>
      <c r="E11" s="7"/>
      <c r="F11" s="7"/>
      <c r="G11" s="7"/>
      <c r="H11" s="7"/>
    </row>
    <row r="12" spans="1:8">
      <c r="A12" s="7" t="s">
        <v>265</v>
      </c>
      <c r="B12" s="7">
        <f>COUNTIF(MBD_structure_classification!F5:F92,"Protein-DNA interface")</f>
        <v>27</v>
      </c>
      <c r="C12" s="11">
        <f>B12/$B$5</f>
        <v>0.321428571428571</v>
      </c>
      <c r="D12" s="11">
        <f>B12/$B$4</f>
        <v>0.306818181818182</v>
      </c>
      <c r="E12" s="7"/>
      <c r="F12" s="7"/>
      <c r="G12" s="7"/>
      <c r="H12" s="7"/>
    </row>
    <row r="13" spans="1:8">
      <c r="A13" s="7" t="s">
        <v>777</v>
      </c>
      <c r="B13" s="7">
        <f>SUM(B10:B12)</f>
        <v>84</v>
      </c>
      <c r="C13" s="11">
        <f>SUM(C10:C12)</f>
        <v>1</v>
      </c>
      <c r="D13" s="11">
        <f>SUM(D10:D12)</f>
        <v>0.954545454545455</v>
      </c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3" t="s">
        <v>778</v>
      </c>
      <c r="B16" s="3" t="s">
        <v>121</v>
      </c>
      <c r="C16" s="3" t="s">
        <v>92</v>
      </c>
      <c r="D16" s="3" t="s">
        <v>265</v>
      </c>
      <c r="E16" s="3" t="s">
        <v>779</v>
      </c>
      <c r="F16" s="3" t="s">
        <v>780</v>
      </c>
      <c r="G16" s="3" t="s">
        <v>781</v>
      </c>
      <c r="H16" s="3" t="s">
        <v>782</v>
      </c>
    </row>
    <row r="17" spans="1:8">
      <c r="A17" s="7" t="s">
        <v>129</v>
      </c>
      <c r="B17" s="7">
        <f>COUNTIFS(MBD_structure_classification!C5:C92,$A17,MBD_structure_classification!F5:F92,"Protein interior")</f>
        <v>33</v>
      </c>
      <c r="C17" s="7">
        <f>COUNTIFS(MBD_structure_classification!C5:C92,$A17,MBD_structure_classification!F5:F92,"Protein surface")</f>
        <v>8</v>
      </c>
      <c r="D17" s="7">
        <f>COUNTIFS(MBD_structure_classification!C5:C92,$A17,MBD_structure_classification!F5:F92,"Protein-DNA interface")</f>
        <v>22</v>
      </c>
      <c r="E17" s="7">
        <f>COUNTIFS(MBD_structure_classification!C5:C92,$A17,MBD_structure_classification!F5:F92,"NA")</f>
        <v>0</v>
      </c>
      <c r="F17" s="7">
        <f t="shared" ref="F17:F22" si="0">SUM(B17:E17)</f>
        <v>63</v>
      </c>
      <c r="G17" s="11">
        <f t="shared" ref="G17:G22" si="1">IF(F17=0,0,SUM(B17:D17)/F17)</f>
        <v>1</v>
      </c>
      <c r="H17" s="7" t="s">
        <v>783</v>
      </c>
    </row>
    <row r="18" spans="1:8">
      <c r="A18" s="7" t="s">
        <v>57</v>
      </c>
      <c r="B18" s="7">
        <f>COUNTIFS(MBD_structure_classification!C5:C92,$A18,MBD_structure_classification!F5:F92,"Protein interior")</f>
        <v>7</v>
      </c>
      <c r="C18" s="7">
        <f>COUNTIFS(MBD_structure_classification!C5:C92,$A18,MBD_structure_classification!F5:F92,"Protein surface")</f>
        <v>7</v>
      </c>
      <c r="D18" s="7">
        <f>COUNTIFS(MBD_structure_classification!C5:C92,$A18,MBD_structure_classification!F5:F92,"Protein-DNA interface")</f>
        <v>3</v>
      </c>
      <c r="E18" s="7">
        <f>COUNTIFS(MBD_structure_classification!C5:C92,$A18,MBD_structure_classification!F5:F92,"NA")</f>
        <v>2</v>
      </c>
      <c r="F18" s="7">
        <f t="shared" si="0"/>
        <v>19</v>
      </c>
      <c r="G18" s="11">
        <f t="shared" si="1"/>
        <v>0.894736842105263</v>
      </c>
      <c r="H18" s="7"/>
    </row>
    <row r="19" spans="1:8">
      <c r="A19" s="7" t="s">
        <v>37</v>
      </c>
      <c r="B19" s="7">
        <f>COUNTIFS(MBD_structure_classification!C5:C92,$A19,MBD_structure_classification!F5:F92,"Protein interior")</f>
        <v>0</v>
      </c>
      <c r="C19" s="7">
        <f>COUNTIFS(MBD_structure_classification!C5:C92,$A19,MBD_structure_classification!F5:F92,"Protein surface")</f>
        <v>1</v>
      </c>
      <c r="D19" s="7">
        <f>COUNTIFS(MBD_structure_classification!C5:C92,$A19,MBD_structure_classification!F5:F92,"Protein-DNA interface")</f>
        <v>1</v>
      </c>
      <c r="E19" s="7">
        <f>COUNTIFS(MBD_structure_classification!C5:C92,$A19,MBD_structure_classification!F5:F92,"NA")</f>
        <v>2</v>
      </c>
      <c r="F19" s="7">
        <f t="shared" si="0"/>
        <v>4</v>
      </c>
      <c r="G19" s="11">
        <f t="shared" si="1"/>
        <v>0.5</v>
      </c>
      <c r="H19" s="7"/>
    </row>
    <row r="20" spans="1:8">
      <c r="A20" s="7" t="s">
        <v>729</v>
      </c>
      <c r="B20" s="7">
        <f>COUNTIFS(MBD_structure_classification!C5:C92,$A20,MBD_structure_classification!F5:F92,"Protein interior")</f>
        <v>0</v>
      </c>
      <c r="C20" s="7">
        <f>COUNTIFS(MBD_structure_classification!C5:C92,$A20,MBD_structure_classification!F5:F92,"Protein surface")</f>
        <v>0</v>
      </c>
      <c r="D20" s="7">
        <f>COUNTIFS(MBD_structure_classification!C5:C92,$A20,MBD_structure_classification!F5:F92,"Protein-DNA interface")</f>
        <v>1</v>
      </c>
      <c r="E20" s="7">
        <f>COUNTIFS(MBD_structure_classification!C5:C92,$A20,MBD_structure_classification!F5:F92,"NA")</f>
        <v>0</v>
      </c>
      <c r="F20" s="7">
        <f t="shared" si="0"/>
        <v>1</v>
      </c>
      <c r="G20" s="11">
        <f t="shared" si="1"/>
        <v>1</v>
      </c>
      <c r="H20" s="7"/>
    </row>
    <row r="21" spans="1:8">
      <c r="A21" s="7" t="s">
        <v>784</v>
      </c>
      <c r="B21" s="7">
        <f>COUNTIFS(MBD_structure_classification!C5:C92,$A21,MBD_structure_classification!F5:F92,"Protein interior")</f>
        <v>0</v>
      </c>
      <c r="C21" s="7">
        <f>COUNTIFS(MBD_structure_classification!C5:C92,$A21,MBD_structure_classification!F5:F92,"Protein surface")</f>
        <v>0</v>
      </c>
      <c r="D21" s="7">
        <f>COUNTIFS(MBD_structure_classification!C5:C92,$A21,MBD_structure_classification!F5:F92,"Protein-DNA interface")</f>
        <v>0</v>
      </c>
      <c r="E21" s="7">
        <f>COUNTIFS(MBD_structure_classification!C5:C92,$A21,MBD_structure_classification!F5:F92,"NA")</f>
        <v>0</v>
      </c>
      <c r="F21" s="7">
        <f t="shared" si="0"/>
        <v>0</v>
      </c>
      <c r="G21" s="11">
        <f t="shared" si="1"/>
        <v>0</v>
      </c>
      <c r="H21" s="7"/>
    </row>
    <row r="22" spans="1:8">
      <c r="A22" s="7" t="s">
        <v>89</v>
      </c>
      <c r="B22" s="7">
        <f>COUNTIFS(MBD_structure_classification!C5:C92,$A22,MBD_structure_classification!F5:F92,"Protein interior")</f>
        <v>0</v>
      </c>
      <c r="C22" s="7">
        <f>COUNTIFS(MBD_structure_classification!C5:C92,$A22,MBD_structure_classification!F5:F92,"Protein surface")</f>
        <v>1</v>
      </c>
      <c r="D22" s="7">
        <f>COUNTIFS(MBD_structure_classification!C5:C92,$A22,MBD_structure_classification!F5:F92,"Protein-DNA interface")</f>
        <v>0</v>
      </c>
      <c r="E22" s="7">
        <f>COUNTIFS(MBD_structure_classification!C5:C92,$A22,MBD_structure_classification!F5:F92,"NA")</f>
        <v>0</v>
      </c>
      <c r="F22" s="7">
        <f t="shared" si="0"/>
        <v>1</v>
      </c>
      <c r="G22" s="11">
        <f t="shared" si="1"/>
        <v>1</v>
      </c>
      <c r="H22" s="7"/>
    </row>
    <row r="23" spans="1:8">
      <c r="A23" s="7"/>
      <c r="B23" s="7"/>
      <c r="C23" s="7"/>
      <c r="D23" s="7"/>
      <c r="E23" s="7"/>
      <c r="F23" s="7"/>
      <c r="G23" s="7"/>
      <c r="H23" s="7"/>
    </row>
    <row r="24" spans="1:8">
      <c r="A24" s="7"/>
      <c r="B24" s="7"/>
      <c r="C24" s="7"/>
      <c r="D24" s="7"/>
      <c r="E24" s="7"/>
      <c r="F24" s="7"/>
      <c r="G24" s="7"/>
      <c r="H24" s="7"/>
    </row>
    <row r="25" spans="1:8">
      <c r="A25" s="12" t="s">
        <v>785</v>
      </c>
      <c r="B25" s="12" t="s">
        <v>786</v>
      </c>
      <c r="C25" s="12" t="s">
        <v>787</v>
      </c>
      <c r="D25" s="12" t="s">
        <v>788</v>
      </c>
      <c r="E25" s="7"/>
      <c r="F25" s="7"/>
      <c r="G25" s="7"/>
      <c r="H25" s="7"/>
    </row>
    <row r="26" spans="1:8">
      <c r="A26" s="7" t="s">
        <v>35</v>
      </c>
      <c r="B26" s="7">
        <v>82</v>
      </c>
      <c r="C26" s="7" t="s">
        <v>37</v>
      </c>
      <c r="D26" s="7" t="s">
        <v>38</v>
      </c>
      <c r="E26" s="7"/>
      <c r="F26" s="7"/>
      <c r="G26" s="7"/>
      <c r="H26" s="7"/>
    </row>
    <row r="27" spans="1:8">
      <c r="A27" s="7" t="s">
        <v>55</v>
      </c>
      <c r="B27" s="7">
        <v>85</v>
      </c>
      <c r="C27" s="7" t="s">
        <v>57</v>
      </c>
      <c r="D27" s="7" t="s">
        <v>58</v>
      </c>
      <c r="E27" s="7"/>
      <c r="F27" s="7"/>
      <c r="G27" s="7"/>
      <c r="H27" s="7"/>
    </row>
    <row r="28" spans="1:8">
      <c r="A28" s="7" t="s">
        <v>68</v>
      </c>
      <c r="B28" s="7">
        <v>86</v>
      </c>
      <c r="C28" s="7" t="s">
        <v>57</v>
      </c>
      <c r="D28" s="7" t="s">
        <v>58</v>
      </c>
      <c r="E28" s="7"/>
      <c r="F28" s="7"/>
      <c r="G28" s="7"/>
      <c r="H28" s="7"/>
    </row>
    <row r="29" spans="1:8">
      <c r="A29" s="7" t="s">
        <v>77</v>
      </c>
      <c r="B29" s="7">
        <v>89</v>
      </c>
      <c r="C29" s="7" t="s">
        <v>37</v>
      </c>
      <c r="D29" s="7" t="s">
        <v>79</v>
      </c>
      <c r="E29" s="7"/>
      <c r="F29" s="7"/>
      <c r="G29" s="7"/>
      <c r="H29" s="7"/>
    </row>
    <row r="30" spans="1:8">
      <c r="A30" s="7"/>
      <c r="B30" s="7"/>
      <c r="C30" s="7"/>
      <c r="D30" s="7"/>
      <c r="E30" s="7"/>
      <c r="F30" s="7"/>
      <c r="G30" s="7"/>
      <c r="H30" s="7"/>
    </row>
  </sheetData>
  <mergeCells count="2">
    <mergeCell ref="A1:H1"/>
    <mergeCell ref="H17:H22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selection activeCell="C53" sqref="C53"/>
    </sheetView>
  </sheetViews>
  <sheetFormatPr defaultColWidth="9" defaultRowHeight="14.25" outlineLevelCol="7"/>
  <cols>
    <col min="1" max="4" width="24" style="1" customWidth="1"/>
    <col min="5" max="5" width="9" style="1"/>
    <col min="6" max="6" width="24" style="1" customWidth="1"/>
    <col min="7" max="7" width="12" style="1" customWidth="1"/>
    <col min="8" max="16384" width="9" style="1"/>
  </cols>
  <sheetData>
    <row r="1" ht="18" spans="1:8">
      <c r="A1" s="2" t="s">
        <v>789</v>
      </c>
      <c r="B1" s="2"/>
      <c r="C1" s="2"/>
      <c r="D1" s="2"/>
      <c r="E1" s="2"/>
      <c r="F1" s="2"/>
      <c r="G1" s="2"/>
      <c r="H1" s="2"/>
    </row>
    <row r="3" spans="1:7">
      <c r="A3" s="9" t="s">
        <v>121</v>
      </c>
      <c r="B3" s="9" t="s">
        <v>92</v>
      </c>
      <c r="C3" s="9" t="s">
        <v>265</v>
      </c>
      <c r="D3" s="9" t="s">
        <v>779</v>
      </c>
      <c r="F3" s="10" t="s">
        <v>790</v>
      </c>
      <c r="G3" s="10" t="s">
        <v>791</v>
      </c>
    </row>
    <row r="4" spans="1:7">
      <c r="A4" s="4" t="s">
        <v>119</v>
      </c>
      <c r="B4" s="4" t="s">
        <v>87</v>
      </c>
      <c r="C4" s="4" t="s">
        <v>263</v>
      </c>
      <c r="D4" s="4" t="s">
        <v>35</v>
      </c>
      <c r="F4" s="4" t="s">
        <v>121</v>
      </c>
      <c r="G4" s="1">
        <v>40</v>
      </c>
    </row>
    <row r="5" spans="1:7">
      <c r="A5" s="4" t="s">
        <v>128</v>
      </c>
      <c r="B5" s="4" t="s">
        <v>102</v>
      </c>
      <c r="C5" s="4" t="s">
        <v>272</v>
      </c>
      <c r="D5" s="4" t="s">
        <v>55</v>
      </c>
      <c r="F5" s="4" t="s">
        <v>92</v>
      </c>
      <c r="G5" s="1">
        <v>17</v>
      </c>
    </row>
    <row r="6" spans="1:7">
      <c r="A6" s="4" t="s">
        <v>148</v>
      </c>
      <c r="B6" s="4" t="s">
        <v>109</v>
      </c>
      <c r="C6" s="4" t="s">
        <v>280</v>
      </c>
      <c r="D6" s="4" t="s">
        <v>68</v>
      </c>
      <c r="F6" s="4" t="s">
        <v>265</v>
      </c>
      <c r="G6" s="1">
        <v>27</v>
      </c>
    </row>
    <row r="7" spans="1:7">
      <c r="A7" s="4" t="s">
        <v>157</v>
      </c>
      <c r="B7" s="4" t="s">
        <v>139</v>
      </c>
      <c r="C7" s="4" t="s">
        <v>288</v>
      </c>
      <c r="D7" s="4" t="s">
        <v>77</v>
      </c>
      <c r="F7" s="4" t="s">
        <v>779</v>
      </c>
      <c r="G7" s="1">
        <v>4</v>
      </c>
    </row>
    <row r="8" spans="1:3">
      <c r="A8" s="4" t="s">
        <v>167</v>
      </c>
      <c r="B8" s="4" t="s">
        <v>304</v>
      </c>
      <c r="C8" s="4" t="s">
        <v>297</v>
      </c>
    </row>
    <row r="9" spans="1:3">
      <c r="A9" s="4" t="s">
        <v>175</v>
      </c>
      <c r="B9" s="4" t="s">
        <v>398</v>
      </c>
      <c r="C9" s="4" t="s">
        <v>322</v>
      </c>
    </row>
    <row r="10" spans="1:3">
      <c r="A10" s="4" t="s">
        <v>182</v>
      </c>
      <c r="B10" s="4" t="s">
        <v>406</v>
      </c>
      <c r="C10" s="4" t="s">
        <v>331</v>
      </c>
    </row>
    <row r="11" spans="1:3">
      <c r="A11" s="4" t="s">
        <v>190</v>
      </c>
      <c r="B11" s="4" t="s">
        <v>496</v>
      </c>
      <c r="C11" s="4" t="s">
        <v>339</v>
      </c>
    </row>
    <row r="12" spans="1:3">
      <c r="A12" s="4" t="s">
        <v>197</v>
      </c>
      <c r="B12" s="4" t="s">
        <v>542</v>
      </c>
      <c r="C12" s="4" t="s">
        <v>346</v>
      </c>
    </row>
    <row r="13" spans="1:3">
      <c r="A13" s="4" t="s">
        <v>206</v>
      </c>
      <c r="B13" s="4" t="s">
        <v>551</v>
      </c>
      <c r="C13" s="4" t="s">
        <v>414</v>
      </c>
    </row>
    <row r="14" spans="1:3">
      <c r="A14" s="4" t="s">
        <v>214</v>
      </c>
      <c r="B14" s="4" t="s">
        <v>559</v>
      </c>
      <c r="C14" s="4" t="s">
        <v>423</v>
      </c>
    </row>
    <row r="15" spans="1:3">
      <c r="A15" s="4" t="s">
        <v>223</v>
      </c>
      <c r="B15" s="4" t="s">
        <v>567</v>
      </c>
      <c r="C15" s="4" t="s">
        <v>432</v>
      </c>
    </row>
    <row r="16" spans="1:3">
      <c r="A16" s="4" t="s">
        <v>230</v>
      </c>
      <c r="B16" s="4" t="s">
        <v>576</v>
      </c>
      <c r="C16" s="4" t="s">
        <v>440</v>
      </c>
    </row>
    <row r="17" spans="1:3">
      <c r="A17" s="4" t="s">
        <v>237</v>
      </c>
      <c r="B17" s="4" t="s">
        <v>584</v>
      </c>
      <c r="C17" s="4" t="s">
        <v>449</v>
      </c>
    </row>
    <row r="18" spans="1:3">
      <c r="A18" s="4" t="s">
        <v>247</v>
      </c>
      <c r="B18" s="4" t="s">
        <v>593</v>
      </c>
      <c r="C18" s="4" t="s">
        <v>455</v>
      </c>
    </row>
    <row r="19" spans="1:3">
      <c r="A19" s="4" t="s">
        <v>256</v>
      </c>
      <c r="B19" s="4" t="s">
        <v>600</v>
      </c>
      <c r="C19" s="4" t="s">
        <v>461</v>
      </c>
    </row>
    <row r="20" spans="1:3">
      <c r="A20" s="4" t="s">
        <v>313</v>
      </c>
      <c r="B20" s="4" t="s">
        <v>759</v>
      </c>
      <c r="C20" s="4" t="s">
        <v>467</v>
      </c>
    </row>
    <row r="21" spans="1:3">
      <c r="A21" s="4" t="s">
        <v>353</v>
      </c>
      <c r="C21" s="4" t="s">
        <v>474</v>
      </c>
    </row>
    <row r="22" spans="1:3">
      <c r="A22" s="4" t="s">
        <v>361</v>
      </c>
      <c r="C22" s="4" t="s">
        <v>484</v>
      </c>
    </row>
    <row r="23" spans="1:3">
      <c r="A23" s="4" t="s">
        <v>368</v>
      </c>
      <c r="C23" s="4" t="s">
        <v>490</v>
      </c>
    </row>
    <row r="24" spans="1:3">
      <c r="A24" s="4" t="s">
        <v>377</v>
      </c>
      <c r="C24" s="4" t="s">
        <v>524</v>
      </c>
    </row>
    <row r="25" spans="1:3">
      <c r="A25" s="4" t="s">
        <v>383</v>
      </c>
      <c r="C25" s="4" t="s">
        <v>686</v>
      </c>
    </row>
    <row r="26" spans="1:3">
      <c r="A26" s="4" t="s">
        <v>391</v>
      </c>
      <c r="C26" s="4" t="s">
        <v>694</v>
      </c>
    </row>
    <row r="27" spans="1:3">
      <c r="A27" s="4" t="s">
        <v>504</v>
      </c>
      <c r="C27" s="4" t="s">
        <v>704</v>
      </c>
    </row>
    <row r="28" spans="1:3">
      <c r="A28" s="4" t="s">
        <v>517</v>
      </c>
      <c r="C28" s="4" t="s">
        <v>712</v>
      </c>
    </row>
    <row r="29" spans="1:3">
      <c r="A29" s="4" t="s">
        <v>533</v>
      </c>
      <c r="C29" s="4" t="s">
        <v>720</v>
      </c>
    </row>
    <row r="30" spans="1:3">
      <c r="A30" s="4" t="s">
        <v>606</v>
      </c>
      <c r="C30" s="4" t="s">
        <v>727</v>
      </c>
    </row>
    <row r="31" spans="1:1">
      <c r="A31" s="4" t="s">
        <v>614</v>
      </c>
    </row>
    <row r="32" spans="1:1">
      <c r="A32" s="4" t="s">
        <v>620</v>
      </c>
    </row>
    <row r="33" spans="1:1">
      <c r="A33" s="4" t="s">
        <v>626</v>
      </c>
    </row>
    <row r="34" spans="1:1">
      <c r="A34" s="4" t="s">
        <v>633</v>
      </c>
    </row>
    <row r="35" spans="1:1">
      <c r="A35" s="4" t="s">
        <v>641</v>
      </c>
    </row>
    <row r="36" spans="1:1">
      <c r="A36" s="4" t="s">
        <v>647</v>
      </c>
    </row>
    <row r="37" spans="1:1">
      <c r="A37" s="4" t="s">
        <v>653</v>
      </c>
    </row>
    <row r="38" spans="1:1">
      <c r="A38" s="4" t="s">
        <v>661</v>
      </c>
    </row>
    <row r="39" spans="1:1">
      <c r="A39" s="4" t="s">
        <v>673</v>
      </c>
    </row>
    <row r="40" spans="1:1">
      <c r="A40" s="4" t="s">
        <v>679</v>
      </c>
    </row>
    <row r="41" spans="1:1">
      <c r="A41" s="4" t="s">
        <v>738</v>
      </c>
    </row>
    <row r="42" spans="1:1">
      <c r="A42" s="4" t="s">
        <v>746</v>
      </c>
    </row>
    <row r="43" spans="1:1">
      <c r="A43" s="4" t="s">
        <v>752</v>
      </c>
    </row>
  </sheetData>
  <mergeCells count="1">
    <mergeCell ref="A1:H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B55" sqref="B55"/>
    </sheetView>
  </sheetViews>
  <sheetFormatPr defaultColWidth="9" defaultRowHeight="14.25" outlineLevelCol="5"/>
  <cols>
    <col min="1" max="1" width="34" style="1" customWidth="1"/>
    <col min="2" max="2" width="68" style="1" customWidth="1"/>
    <col min="3" max="16384" width="9" style="1"/>
  </cols>
  <sheetData>
    <row r="1" ht="18" spans="1:6">
      <c r="A1" s="2" t="s">
        <v>792</v>
      </c>
      <c r="B1" s="2"/>
      <c r="C1" s="2"/>
      <c r="D1" s="2"/>
      <c r="E1" s="2"/>
      <c r="F1" s="2"/>
    </row>
    <row r="3" spans="1:2">
      <c r="A3" s="3" t="s">
        <v>793</v>
      </c>
      <c r="B3" s="3" t="s">
        <v>794</v>
      </c>
    </row>
    <row r="4" spans="1:2">
      <c r="A4" s="7" t="s">
        <v>795</v>
      </c>
      <c r="B4" s="7" t="s">
        <v>796</v>
      </c>
    </row>
    <row r="5" spans="1:2">
      <c r="A5" s="7" t="s">
        <v>797</v>
      </c>
      <c r="B5" s="7" t="s">
        <v>798</v>
      </c>
    </row>
    <row r="6" spans="1:2">
      <c r="A6" s="7" t="s">
        <v>799</v>
      </c>
      <c r="B6" s="7" t="s">
        <v>800</v>
      </c>
    </row>
    <row r="7" spans="1:2">
      <c r="A7" s="7" t="s">
        <v>265</v>
      </c>
      <c r="B7" s="7" t="s">
        <v>801</v>
      </c>
    </row>
    <row r="8" spans="1:2">
      <c r="A8" s="7" t="s">
        <v>802</v>
      </c>
      <c r="B8" s="7" t="s">
        <v>803</v>
      </c>
    </row>
    <row r="9" spans="1:2">
      <c r="A9" s="7" t="s">
        <v>121</v>
      </c>
      <c r="B9" s="7" t="s">
        <v>804</v>
      </c>
    </row>
    <row r="10" spans="1:2">
      <c r="A10" s="7" t="s">
        <v>92</v>
      </c>
      <c r="B10" s="7" t="s">
        <v>805</v>
      </c>
    </row>
    <row r="11" spans="1:2">
      <c r="A11" s="7" t="s">
        <v>806</v>
      </c>
      <c r="B11" s="7" t="s">
        <v>807</v>
      </c>
    </row>
    <row r="13" spans="1:6">
      <c r="A13" s="8" t="s">
        <v>808</v>
      </c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</sheetData>
  <mergeCells count="2">
    <mergeCell ref="A1:F1"/>
    <mergeCell ref="A13:F1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5"/>
  <sheetViews>
    <sheetView workbookViewId="0">
      <selection activeCell="G13" sqref="G13"/>
    </sheetView>
  </sheetViews>
  <sheetFormatPr defaultColWidth="9" defaultRowHeight="14.25"/>
  <cols>
    <col min="1" max="3" width="16" style="1" customWidth="1"/>
    <col min="4" max="4" width="14" style="1" customWidth="1"/>
    <col min="5" max="10" width="16" style="1" customWidth="1"/>
    <col min="11" max="11" width="24" style="1" customWidth="1"/>
    <col min="12" max="16384" width="9" style="1"/>
  </cols>
  <sheetData>
    <row r="1" ht="18" spans="1:11">
      <c r="A1" s="2" t="s">
        <v>809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>
      <c r="A3" s="3" t="s">
        <v>810</v>
      </c>
      <c r="B3" s="3" t="s">
        <v>811</v>
      </c>
      <c r="C3" s="3" t="s">
        <v>812</v>
      </c>
      <c r="D3" s="3" t="s">
        <v>813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7</v>
      </c>
    </row>
    <row r="4" spans="1:11">
      <c r="A4" s="4" t="s">
        <v>814</v>
      </c>
      <c r="B4" s="1">
        <v>91</v>
      </c>
      <c r="C4" s="4" t="s">
        <v>815</v>
      </c>
      <c r="D4" s="4" t="s">
        <v>93</v>
      </c>
      <c r="E4" s="5">
        <v>342.448761</v>
      </c>
      <c r="F4" s="5">
        <v>278.887695</v>
      </c>
      <c r="G4" s="5">
        <v>278.887695</v>
      </c>
      <c r="H4" s="6">
        <v>0.814392</v>
      </c>
      <c r="I4" s="5">
        <v>0</v>
      </c>
      <c r="J4" s="6">
        <v>0</v>
      </c>
      <c r="K4" s="4" t="s">
        <v>92</v>
      </c>
    </row>
    <row r="5" spans="1:11">
      <c r="A5" s="4" t="s">
        <v>814</v>
      </c>
      <c r="B5" s="1">
        <v>92</v>
      </c>
      <c r="C5" s="4" t="s">
        <v>816</v>
      </c>
      <c r="D5" s="4" t="s">
        <v>817</v>
      </c>
      <c r="E5" s="5">
        <v>186.843689</v>
      </c>
      <c r="F5" s="5">
        <v>40.448566</v>
      </c>
      <c r="G5" s="5">
        <v>40.448566</v>
      </c>
      <c r="H5" s="6">
        <v>0.216483</v>
      </c>
      <c r="I5" s="5">
        <v>0</v>
      </c>
      <c r="J5" s="6">
        <v>0</v>
      </c>
      <c r="K5" s="4" t="s">
        <v>92</v>
      </c>
    </row>
    <row r="6" spans="1:11">
      <c r="A6" s="4" t="s">
        <v>814</v>
      </c>
      <c r="B6" s="1">
        <v>93</v>
      </c>
      <c r="C6" s="4" t="s">
        <v>818</v>
      </c>
      <c r="D6" s="4" t="s">
        <v>111</v>
      </c>
      <c r="E6" s="5">
        <v>237.048889</v>
      </c>
      <c r="F6" s="5">
        <v>50.151764</v>
      </c>
      <c r="G6" s="5">
        <v>50.151764</v>
      </c>
      <c r="H6" s="6">
        <v>0.211567</v>
      </c>
      <c r="I6" s="5">
        <v>0</v>
      </c>
      <c r="J6" s="6">
        <v>0</v>
      </c>
      <c r="K6" s="4" t="s">
        <v>92</v>
      </c>
    </row>
    <row r="7" spans="1:11">
      <c r="A7" s="4" t="s">
        <v>814</v>
      </c>
      <c r="B7" s="1">
        <v>94</v>
      </c>
      <c r="C7" s="4" t="s">
        <v>819</v>
      </c>
      <c r="D7" s="4" t="s">
        <v>820</v>
      </c>
      <c r="E7" s="5">
        <v>307.290253</v>
      </c>
      <c r="F7" s="5">
        <v>60.133881</v>
      </c>
      <c r="G7" s="5">
        <v>60.133881</v>
      </c>
      <c r="H7" s="6">
        <v>0.195691</v>
      </c>
      <c r="I7" s="5">
        <v>0</v>
      </c>
      <c r="J7" s="6">
        <v>0</v>
      </c>
      <c r="K7" s="4" t="s">
        <v>121</v>
      </c>
    </row>
    <row r="8" spans="1:11">
      <c r="A8" s="4" t="s">
        <v>814</v>
      </c>
      <c r="B8" s="1">
        <v>95</v>
      </c>
      <c r="C8" s="4" t="s">
        <v>821</v>
      </c>
      <c r="D8" s="4" t="s">
        <v>822</v>
      </c>
      <c r="E8" s="5">
        <v>332.18988</v>
      </c>
      <c r="F8" s="5">
        <v>101.285431</v>
      </c>
      <c r="G8" s="5">
        <v>101.285431</v>
      </c>
      <c r="H8" s="6">
        <v>0.304902</v>
      </c>
      <c r="I8" s="5">
        <v>0</v>
      </c>
      <c r="J8" s="6">
        <v>0</v>
      </c>
      <c r="K8" s="4" t="s">
        <v>92</v>
      </c>
    </row>
    <row r="9" spans="1:11">
      <c r="A9" s="4" t="s">
        <v>814</v>
      </c>
      <c r="B9" s="1">
        <v>96</v>
      </c>
      <c r="C9" s="4" t="s">
        <v>823</v>
      </c>
      <c r="D9" s="4" t="s">
        <v>824</v>
      </c>
      <c r="E9" s="5">
        <v>265.482056</v>
      </c>
      <c r="F9" s="5">
        <v>100.684631</v>
      </c>
      <c r="G9" s="5">
        <v>100.684631</v>
      </c>
      <c r="H9" s="6">
        <v>0.379252</v>
      </c>
      <c r="I9" s="5">
        <v>0</v>
      </c>
      <c r="J9" s="6">
        <v>0</v>
      </c>
      <c r="K9" s="4" t="s">
        <v>92</v>
      </c>
    </row>
    <row r="10" spans="1:11">
      <c r="A10" s="4" t="s">
        <v>814</v>
      </c>
      <c r="B10" s="1">
        <v>97</v>
      </c>
      <c r="C10" s="4" t="s">
        <v>823</v>
      </c>
      <c r="D10" s="4" t="s">
        <v>122</v>
      </c>
      <c r="E10" s="5">
        <v>246.025558</v>
      </c>
      <c r="F10" s="5">
        <v>19.081558</v>
      </c>
      <c r="G10" s="5">
        <v>19.081558</v>
      </c>
      <c r="H10" s="6">
        <v>0.077559</v>
      </c>
      <c r="I10" s="5">
        <v>0</v>
      </c>
      <c r="J10" s="6">
        <v>0</v>
      </c>
      <c r="K10" s="4" t="s">
        <v>121</v>
      </c>
    </row>
    <row r="11" spans="1:11">
      <c r="A11" s="4" t="s">
        <v>814</v>
      </c>
      <c r="B11" s="1">
        <v>98</v>
      </c>
      <c r="C11" s="4" t="s">
        <v>818</v>
      </c>
      <c r="D11" s="4" t="s">
        <v>825</v>
      </c>
      <c r="E11" s="5">
        <v>233.835022</v>
      </c>
      <c r="F11" s="5">
        <v>101.219376</v>
      </c>
      <c r="G11" s="5">
        <v>101.219376</v>
      </c>
      <c r="H11" s="6">
        <v>0.432867</v>
      </c>
      <c r="I11" s="5">
        <v>0</v>
      </c>
      <c r="J11" s="6">
        <v>0</v>
      </c>
      <c r="K11" s="4" t="s">
        <v>92</v>
      </c>
    </row>
    <row r="12" spans="1:11">
      <c r="A12" s="4" t="s">
        <v>814</v>
      </c>
      <c r="B12" s="1">
        <v>99</v>
      </c>
      <c r="C12" s="4" t="s">
        <v>826</v>
      </c>
      <c r="D12" s="4" t="s">
        <v>141</v>
      </c>
      <c r="E12" s="5">
        <v>247.11879</v>
      </c>
      <c r="F12" s="5">
        <v>116.364235</v>
      </c>
      <c r="G12" s="5">
        <v>116.364235</v>
      </c>
      <c r="H12" s="6">
        <v>0.470884</v>
      </c>
      <c r="I12" s="5">
        <v>0</v>
      </c>
      <c r="J12" s="6">
        <v>0</v>
      </c>
      <c r="K12" s="4" t="s">
        <v>92</v>
      </c>
    </row>
    <row r="13" spans="1:11">
      <c r="A13" s="4" t="s">
        <v>814</v>
      </c>
      <c r="B13" s="1">
        <v>100</v>
      </c>
      <c r="C13" s="4" t="s">
        <v>827</v>
      </c>
      <c r="D13" s="4" t="s">
        <v>150</v>
      </c>
      <c r="E13" s="5">
        <v>279.480743</v>
      </c>
      <c r="F13" s="5">
        <v>17.349607</v>
      </c>
      <c r="G13" s="5">
        <v>17.349607</v>
      </c>
      <c r="H13" s="6">
        <v>0.062078</v>
      </c>
      <c r="I13" s="5">
        <v>0</v>
      </c>
      <c r="J13" s="6">
        <v>0</v>
      </c>
      <c r="K13" s="4" t="s">
        <v>121</v>
      </c>
    </row>
    <row r="14" spans="1:11">
      <c r="A14" s="4" t="s">
        <v>814</v>
      </c>
      <c r="B14" s="1">
        <v>101</v>
      </c>
      <c r="C14" s="4" t="s">
        <v>818</v>
      </c>
      <c r="D14" s="4" t="s">
        <v>169</v>
      </c>
      <c r="E14" s="5">
        <v>237.403992</v>
      </c>
      <c r="F14" s="5">
        <v>29.127611</v>
      </c>
      <c r="G14" s="5">
        <v>29.127611</v>
      </c>
      <c r="H14" s="6">
        <v>0.122692</v>
      </c>
      <c r="I14" s="5">
        <v>0</v>
      </c>
      <c r="J14" s="6">
        <v>0</v>
      </c>
      <c r="K14" s="4" t="s">
        <v>121</v>
      </c>
    </row>
    <row r="15" spans="1:11">
      <c r="A15" s="4" t="s">
        <v>814</v>
      </c>
      <c r="B15" s="1">
        <v>102</v>
      </c>
      <c r="C15" s="4" t="s">
        <v>828</v>
      </c>
      <c r="D15" s="4" t="s">
        <v>829</v>
      </c>
      <c r="E15" s="5">
        <v>279.779907</v>
      </c>
      <c r="F15" s="5">
        <v>173.21582</v>
      </c>
      <c r="G15" s="5">
        <v>173.21582</v>
      </c>
      <c r="H15" s="6">
        <v>0.619115</v>
      </c>
      <c r="I15" s="5">
        <v>0</v>
      </c>
      <c r="J15" s="6">
        <v>0</v>
      </c>
      <c r="K15" s="4" t="s">
        <v>92</v>
      </c>
    </row>
    <row r="16" spans="1:11">
      <c r="A16" s="4" t="s">
        <v>814</v>
      </c>
      <c r="B16" s="1">
        <v>103</v>
      </c>
      <c r="C16" s="4" t="s">
        <v>816</v>
      </c>
      <c r="D16" s="4" t="s">
        <v>199</v>
      </c>
      <c r="E16" s="5">
        <v>187.436844</v>
      </c>
      <c r="F16" s="5">
        <v>35.453758</v>
      </c>
      <c r="G16" s="5">
        <v>35.453758</v>
      </c>
      <c r="H16" s="6">
        <v>0.18915</v>
      </c>
      <c r="I16" s="5">
        <v>0</v>
      </c>
      <c r="J16" s="6">
        <v>0</v>
      </c>
      <c r="K16" s="4" t="s">
        <v>121</v>
      </c>
    </row>
    <row r="17" spans="1:11">
      <c r="A17" s="4" t="s">
        <v>814</v>
      </c>
      <c r="B17" s="1">
        <v>104</v>
      </c>
      <c r="C17" s="4" t="s">
        <v>830</v>
      </c>
      <c r="D17" s="4" t="s">
        <v>208</v>
      </c>
      <c r="E17" s="5">
        <v>353.704712</v>
      </c>
      <c r="F17" s="5">
        <v>30.502449</v>
      </c>
      <c r="G17" s="5">
        <v>30.502449</v>
      </c>
      <c r="H17" s="6">
        <v>0.086237</v>
      </c>
      <c r="I17" s="5">
        <v>0</v>
      </c>
      <c r="J17" s="6">
        <v>0</v>
      </c>
      <c r="K17" s="4" t="s">
        <v>121</v>
      </c>
    </row>
    <row r="18" spans="1:11">
      <c r="A18" s="4" t="s">
        <v>814</v>
      </c>
      <c r="B18" s="1">
        <v>105</v>
      </c>
      <c r="C18" s="4" t="s">
        <v>826</v>
      </c>
      <c r="D18" s="4" t="s">
        <v>831</v>
      </c>
      <c r="E18" s="5">
        <v>248.450317</v>
      </c>
      <c r="F18" s="5">
        <v>62.79097</v>
      </c>
      <c r="G18" s="5">
        <v>62.79097</v>
      </c>
      <c r="H18" s="6">
        <v>0.25273</v>
      </c>
      <c r="I18" s="5">
        <v>0</v>
      </c>
      <c r="J18" s="6">
        <v>0</v>
      </c>
      <c r="K18" s="4" t="s">
        <v>92</v>
      </c>
    </row>
    <row r="19" spans="1:11">
      <c r="A19" s="4" t="s">
        <v>814</v>
      </c>
      <c r="B19" s="1">
        <v>106</v>
      </c>
      <c r="C19" s="4" t="s">
        <v>815</v>
      </c>
      <c r="D19" s="4" t="s">
        <v>216</v>
      </c>
      <c r="E19" s="5">
        <v>333.230225</v>
      </c>
      <c r="F19" s="5">
        <v>7.6333</v>
      </c>
      <c r="G19" s="5">
        <v>7.6333</v>
      </c>
      <c r="H19" s="6">
        <v>0.022907</v>
      </c>
      <c r="I19" s="5">
        <v>0</v>
      </c>
      <c r="J19" s="6">
        <v>0</v>
      </c>
      <c r="K19" s="4" t="s">
        <v>121</v>
      </c>
    </row>
    <row r="20" spans="1:11">
      <c r="A20" s="4" t="s">
        <v>814</v>
      </c>
      <c r="B20" s="1">
        <v>107</v>
      </c>
      <c r="C20" s="4" t="s">
        <v>832</v>
      </c>
      <c r="D20" s="4" t="s">
        <v>833</v>
      </c>
      <c r="E20" s="5">
        <v>308.019196</v>
      </c>
      <c r="F20" s="5">
        <v>102.834991</v>
      </c>
      <c r="G20" s="5">
        <v>102.834991</v>
      </c>
      <c r="H20" s="6">
        <v>0.333859</v>
      </c>
      <c r="I20" s="5">
        <v>0</v>
      </c>
      <c r="J20" s="6">
        <v>0</v>
      </c>
      <c r="K20" s="4" t="s">
        <v>92</v>
      </c>
    </row>
    <row r="21" spans="1:11">
      <c r="A21" s="4" t="s">
        <v>814</v>
      </c>
      <c r="B21" s="1">
        <v>108</v>
      </c>
      <c r="C21" s="4" t="s">
        <v>827</v>
      </c>
      <c r="D21" s="4" t="s">
        <v>249</v>
      </c>
      <c r="E21" s="5">
        <v>274.896027</v>
      </c>
      <c r="F21" s="5">
        <v>25.637844</v>
      </c>
      <c r="G21" s="5">
        <v>25.637844</v>
      </c>
      <c r="H21" s="6">
        <v>0.093264</v>
      </c>
      <c r="I21" s="5">
        <v>0</v>
      </c>
      <c r="J21" s="6">
        <v>0</v>
      </c>
      <c r="K21" s="4" t="s">
        <v>121</v>
      </c>
    </row>
    <row r="22" spans="1:11">
      <c r="A22" s="4" t="s">
        <v>814</v>
      </c>
      <c r="B22" s="1">
        <v>109</v>
      </c>
      <c r="C22" s="4" t="s">
        <v>832</v>
      </c>
      <c r="D22" s="4" t="s">
        <v>834</v>
      </c>
      <c r="E22" s="5">
        <v>301.831757</v>
      </c>
      <c r="F22" s="5">
        <v>97.554901</v>
      </c>
      <c r="G22" s="5">
        <v>58.774261</v>
      </c>
      <c r="H22" s="6">
        <v>0.32321</v>
      </c>
      <c r="I22" s="5">
        <v>38.78064</v>
      </c>
      <c r="J22" s="6">
        <v>0.397526</v>
      </c>
      <c r="K22" s="4" t="s">
        <v>265</v>
      </c>
    </row>
    <row r="23" spans="1:11">
      <c r="A23" s="4" t="s">
        <v>814</v>
      </c>
      <c r="B23" s="1">
        <v>110</v>
      </c>
      <c r="C23" s="4" t="s">
        <v>835</v>
      </c>
      <c r="D23" s="4" t="s">
        <v>836</v>
      </c>
      <c r="E23" s="5">
        <v>285.366272</v>
      </c>
      <c r="F23" s="5">
        <v>80.694237</v>
      </c>
      <c r="G23" s="5">
        <v>79.466522</v>
      </c>
      <c r="H23" s="6">
        <v>0.282774</v>
      </c>
      <c r="I23" s="5">
        <v>1.227715</v>
      </c>
      <c r="J23" s="6">
        <v>0.015214</v>
      </c>
      <c r="K23" s="4" t="s">
        <v>265</v>
      </c>
    </row>
    <row r="24" spans="1:11">
      <c r="A24" s="4" t="s">
        <v>814</v>
      </c>
      <c r="B24" s="1">
        <v>111</v>
      </c>
      <c r="C24" s="4" t="s">
        <v>815</v>
      </c>
      <c r="D24" s="4" t="s">
        <v>266</v>
      </c>
      <c r="E24" s="5">
        <v>330.505676</v>
      </c>
      <c r="F24" s="5">
        <v>108.119324</v>
      </c>
      <c r="G24" s="5">
        <v>11.749238</v>
      </c>
      <c r="H24" s="6">
        <v>0.327133</v>
      </c>
      <c r="I24" s="5">
        <v>96.370086</v>
      </c>
      <c r="J24" s="6">
        <v>0.891331</v>
      </c>
      <c r="K24" s="4" t="s">
        <v>265</v>
      </c>
    </row>
    <row r="25" spans="1:11">
      <c r="A25" s="4" t="s">
        <v>814</v>
      </c>
      <c r="B25" s="1">
        <v>112</v>
      </c>
      <c r="C25" s="4" t="s">
        <v>832</v>
      </c>
      <c r="D25" s="4" t="s">
        <v>837</v>
      </c>
      <c r="E25" s="5">
        <v>307.626251</v>
      </c>
      <c r="F25" s="5">
        <v>169.814392</v>
      </c>
      <c r="G25" s="5">
        <v>146.284424</v>
      </c>
      <c r="H25" s="6">
        <v>0.552015</v>
      </c>
      <c r="I25" s="5">
        <v>23.529968</v>
      </c>
      <c r="J25" s="6">
        <v>0.138563</v>
      </c>
      <c r="K25" s="4" t="s">
        <v>265</v>
      </c>
    </row>
    <row r="26" spans="1:11">
      <c r="A26" s="4" t="s">
        <v>814</v>
      </c>
      <c r="B26" s="1">
        <v>113</v>
      </c>
      <c r="C26" s="4" t="s">
        <v>838</v>
      </c>
      <c r="D26" s="4" t="s">
        <v>839</v>
      </c>
      <c r="E26" s="5">
        <v>221.205994</v>
      </c>
      <c r="F26" s="5">
        <v>89.581497</v>
      </c>
      <c r="G26" s="5">
        <v>48.875908</v>
      </c>
      <c r="H26" s="6">
        <v>0.404969</v>
      </c>
      <c r="I26" s="5">
        <v>40.705589</v>
      </c>
      <c r="J26" s="6">
        <v>0.454397</v>
      </c>
      <c r="K26" s="4" t="s">
        <v>265</v>
      </c>
    </row>
    <row r="27" spans="1:11">
      <c r="A27" s="4" t="s">
        <v>814</v>
      </c>
      <c r="B27" s="1">
        <v>114</v>
      </c>
      <c r="C27" s="4" t="s">
        <v>816</v>
      </c>
      <c r="D27" s="4" t="s">
        <v>282</v>
      </c>
      <c r="E27" s="5">
        <v>184.834534</v>
      </c>
      <c r="F27" s="5">
        <v>65.779465</v>
      </c>
      <c r="G27" s="5">
        <v>44.040752</v>
      </c>
      <c r="H27" s="6">
        <v>0.355883</v>
      </c>
      <c r="I27" s="5">
        <v>21.738712</v>
      </c>
      <c r="J27" s="6">
        <v>0.330479</v>
      </c>
      <c r="K27" s="4" t="s">
        <v>265</v>
      </c>
    </row>
    <row r="28" spans="1:11">
      <c r="A28" s="4" t="s">
        <v>814</v>
      </c>
      <c r="B28" s="1">
        <v>115</v>
      </c>
      <c r="C28" s="4" t="s">
        <v>815</v>
      </c>
      <c r="D28" s="4" t="s">
        <v>290</v>
      </c>
      <c r="E28" s="5">
        <v>353.047302</v>
      </c>
      <c r="F28" s="5">
        <v>260.401459</v>
      </c>
      <c r="G28" s="5">
        <v>242.858459</v>
      </c>
      <c r="H28" s="6">
        <v>0.737582</v>
      </c>
      <c r="I28" s="5">
        <v>17.542999</v>
      </c>
      <c r="J28" s="6">
        <v>0.067369</v>
      </c>
      <c r="K28" s="4" t="s">
        <v>265</v>
      </c>
    </row>
    <row r="29" spans="1:11">
      <c r="A29" s="4" t="s">
        <v>814</v>
      </c>
      <c r="B29" s="1">
        <v>116</v>
      </c>
      <c r="C29" s="4" t="s">
        <v>838</v>
      </c>
      <c r="D29" s="4" t="s">
        <v>840</v>
      </c>
      <c r="E29" s="5">
        <v>222.328583</v>
      </c>
      <c r="F29" s="5">
        <v>43.013649</v>
      </c>
      <c r="G29" s="5">
        <v>23.091951</v>
      </c>
      <c r="H29" s="6">
        <v>0.193469</v>
      </c>
      <c r="I29" s="5">
        <v>19.921698</v>
      </c>
      <c r="J29" s="6">
        <v>0.463148</v>
      </c>
      <c r="K29" s="4" t="s">
        <v>265</v>
      </c>
    </row>
    <row r="30" spans="1:11">
      <c r="A30" s="4" t="s">
        <v>814</v>
      </c>
      <c r="B30" s="1">
        <v>117</v>
      </c>
      <c r="C30" s="4" t="s">
        <v>841</v>
      </c>
      <c r="D30" s="4" t="s">
        <v>306</v>
      </c>
      <c r="E30" s="5">
        <v>208.388443</v>
      </c>
      <c r="F30" s="5">
        <v>50.731869</v>
      </c>
      <c r="G30" s="5">
        <v>50.731869</v>
      </c>
      <c r="H30" s="6">
        <v>0.243449</v>
      </c>
      <c r="I30" s="5">
        <v>0</v>
      </c>
      <c r="J30" s="6">
        <v>0</v>
      </c>
      <c r="K30" s="4" t="s">
        <v>92</v>
      </c>
    </row>
    <row r="31" spans="1:11">
      <c r="A31" s="4" t="s">
        <v>814</v>
      </c>
      <c r="B31" s="1">
        <v>118</v>
      </c>
      <c r="C31" s="4" t="s">
        <v>816</v>
      </c>
      <c r="D31" s="4" t="s">
        <v>315</v>
      </c>
      <c r="E31" s="5">
        <v>186.437927</v>
      </c>
      <c r="F31" s="5">
        <v>28.359001</v>
      </c>
      <c r="G31" s="5">
        <v>28.359001</v>
      </c>
      <c r="H31" s="6">
        <v>0.15211</v>
      </c>
      <c r="I31" s="5">
        <v>0</v>
      </c>
      <c r="J31" s="6">
        <v>0</v>
      </c>
      <c r="K31" s="4" t="s">
        <v>121</v>
      </c>
    </row>
    <row r="32" spans="1:11">
      <c r="A32" s="4" t="s">
        <v>814</v>
      </c>
      <c r="B32" s="1">
        <v>119</v>
      </c>
      <c r="C32" s="4" t="s">
        <v>832</v>
      </c>
      <c r="D32" s="4" t="s">
        <v>842</v>
      </c>
      <c r="E32" s="5">
        <v>304.520142</v>
      </c>
      <c r="F32" s="5">
        <v>137.812897</v>
      </c>
      <c r="G32" s="5">
        <v>104.147202</v>
      </c>
      <c r="H32" s="6">
        <v>0.452558</v>
      </c>
      <c r="I32" s="5">
        <v>33.665695</v>
      </c>
      <c r="J32" s="6">
        <v>0.244286</v>
      </c>
      <c r="K32" s="4" t="s">
        <v>265</v>
      </c>
    </row>
    <row r="33" spans="1:11">
      <c r="A33" s="4" t="s">
        <v>814</v>
      </c>
      <c r="B33" s="1">
        <v>120</v>
      </c>
      <c r="C33" s="4" t="s">
        <v>821</v>
      </c>
      <c r="D33" s="4" t="s">
        <v>324</v>
      </c>
      <c r="E33" s="5">
        <v>316.990662</v>
      </c>
      <c r="F33" s="5">
        <v>62.591194</v>
      </c>
      <c r="G33" s="5">
        <v>61.140259</v>
      </c>
      <c r="H33" s="6">
        <v>0.197454</v>
      </c>
      <c r="I33" s="5">
        <v>1.450935</v>
      </c>
      <c r="J33" s="6">
        <v>0.023181</v>
      </c>
      <c r="K33" s="4" t="s">
        <v>265</v>
      </c>
    </row>
    <row r="34" spans="1:11">
      <c r="A34" s="4" t="s">
        <v>814</v>
      </c>
      <c r="B34" s="1">
        <v>121</v>
      </c>
      <c r="C34" s="4" t="s">
        <v>823</v>
      </c>
      <c r="D34" s="4" t="s">
        <v>333</v>
      </c>
      <c r="E34" s="5">
        <v>258.271606</v>
      </c>
      <c r="F34" s="5">
        <v>45.73259</v>
      </c>
      <c r="G34" s="5">
        <v>15.455961</v>
      </c>
      <c r="H34" s="6">
        <v>0.177072</v>
      </c>
      <c r="I34" s="5">
        <v>30.276628</v>
      </c>
      <c r="J34" s="6">
        <v>0.662036</v>
      </c>
      <c r="K34" s="4" t="s">
        <v>265</v>
      </c>
    </row>
    <row r="35" spans="1:11">
      <c r="A35" s="4" t="s">
        <v>814</v>
      </c>
      <c r="B35" s="1">
        <v>122</v>
      </c>
      <c r="C35" s="4" t="s">
        <v>843</v>
      </c>
      <c r="D35" s="4" t="s">
        <v>355</v>
      </c>
      <c r="E35" s="5">
        <v>250.581665</v>
      </c>
      <c r="F35" s="5">
        <v>14.268061</v>
      </c>
      <c r="G35" s="5">
        <v>14.268061</v>
      </c>
      <c r="H35" s="6">
        <v>0.05694</v>
      </c>
      <c r="I35" s="5">
        <v>0</v>
      </c>
      <c r="J35" s="6">
        <v>0</v>
      </c>
      <c r="K35" s="4" t="s">
        <v>121</v>
      </c>
    </row>
    <row r="36" spans="1:11">
      <c r="A36" s="4" t="s">
        <v>814</v>
      </c>
      <c r="B36" s="1">
        <v>123</v>
      </c>
      <c r="C36" s="4" t="s">
        <v>821</v>
      </c>
      <c r="D36" s="4" t="s">
        <v>844</v>
      </c>
      <c r="E36" s="5">
        <v>333.373383</v>
      </c>
      <c r="F36" s="5">
        <v>67.884766</v>
      </c>
      <c r="G36" s="5">
        <v>27.133945</v>
      </c>
      <c r="H36" s="6">
        <v>0.20363</v>
      </c>
      <c r="I36" s="5">
        <v>40.75082</v>
      </c>
      <c r="J36" s="6">
        <v>0.600294</v>
      </c>
      <c r="K36" s="4" t="s">
        <v>265</v>
      </c>
    </row>
    <row r="37" spans="1:11">
      <c r="A37" s="4" t="s">
        <v>814</v>
      </c>
      <c r="B37" s="1">
        <v>124</v>
      </c>
      <c r="C37" s="4" t="s">
        <v>827</v>
      </c>
      <c r="D37" s="4" t="s">
        <v>370</v>
      </c>
      <c r="E37" s="5">
        <v>276.643677</v>
      </c>
      <c r="F37" s="5">
        <v>0.125795</v>
      </c>
      <c r="G37" s="5">
        <v>0.125795</v>
      </c>
      <c r="H37" s="6">
        <v>0.000455</v>
      </c>
      <c r="I37" s="5">
        <v>0</v>
      </c>
      <c r="J37" s="6">
        <v>0</v>
      </c>
      <c r="K37" s="4" t="s">
        <v>121</v>
      </c>
    </row>
    <row r="38" spans="1:11">
      <c r="A38" s="4" t="s">
        <v>814</v>
      </c>
      <c r="B38" s="1">
        <v>125</v>
      </c>
      <c r="C38" s="4" t="s">
        <v>845</v>
      </c>
      <c r="D38" s="4" t="s">
        <v>846</v>
      </c>
      <c r="E38" s="5">
        <v>272.821411</v>
      </c>
      <c r="F38" s="5">
        <v>25.536304</v>
      </c>
      <c r="G38" s="5">
        <v>25.536304</v>
      </c>
      <c r="H38" s="6">
        <v>0.093601</v>
      </c>
      <c r="I38" s="5">
        <v>0</v>
      </c>
      <c r="J38" s="6">
        <v>0</v>
      </c>
      <c r="K38" s="4" t="s">
        <v>121</v>
      </c>
    </row>
    <row r="39" spans="1:11">
      <c r="A39" s="4" t="s">
        <v>814</v>
      </c>
      <c r="B39" s="1">
        <v>126</v>
      </c>
      <c r="C39" s="4" t="s">
        <v>847</v>
      </c>
      <c r="D39" s="4" t="s">
        <v>385</v>
      </c>
      <c r="E39" s="5">
        <v>259.808533</v>
      </c>
      <c r="F39" s="5">
        <v>10.944727</v>
      </c>
      <c r="G39" s="5">
        <v>10.944727</v>
      </c>
      <c r="H39" s="6">
        <v>0.042126</v>
      </c>
      <c r="I39" s="5">
        <v>0</v>
      </c>
      <c r="J39" s="6">
        <v>0</v>
      </c>
      <c r="K39" s="4" t="s">
        <v>121</v>
      </c>
    </row>
    <row r="40" spans="1:11">
      <c r="A40" s="4" t="s">
        <v>814</v>
      </c>
      <c r="B40" s="1">
        <v>127</v>
      </c>
      <c r="C40" s="4" t="s">
        <v>818</v>
      </c>
      <c r="D40" s="4" t="s">
        <v>400</v>
      </c>
      <c r="E40" s="5">
        <v>238.954315</v>
      </c>
      <c r="F40" s="5">
        <v>83.846489</v>
      </c>
      <c r="G40" s="5">
        <v>83.846489</v>
      </c>
      <c r="H40" s="6">
        <v>0.350889</v>
      </c>
      <c r="I40" s="5">
        <v>0</v>
      </c>
      <c r="J40" s="6">
        <v>0</v>
      </c>
      <c r="K40" s="4" t="s">
        <v>92</v>
      </c>
    </row>
    <row r="41" spans="1:11">
      <c r="A41" s="4" t="s">
        <v>814</v>
      </c>
      <c r="B41" s="1">
        <v>128</v>
      </c>
      <c r="C41" s="4" t="s">
        <v>835</v>
      </c>
      <c r="D41" s="4" t="s">
        <v>408</v>
      </c>
      <c r="E41" s="5">
        <v>283.395416</v>
      </c>
      <c r="F41" s="5">
        <v>148.66449</v>
      </c>
      <c r="G41" s="5">
        <v>148.66449</v>
      </c>
      <c r="H41" s="6">
        <v>0.524583</v>
      </c>
      <c r="I41" s="5">
        <v>0</v>
      </c>
      <c r="J41" s="6">
        <v>0</v>
      </c>
      <c r="K41" s="4" t="s">
        <v>92</v>
      </c>
    </row>
    <row r="42" spans="1:11">
      <c r="A42" s="4" t="s">
        <v>814</v>
      </c>
      <c r="B42" s="1">
        <v>129</v>
      </c>
      <c r="C42" s="4" t="s">
        <v>816</v>
      </c>
      <c r="D42" s="4" t="s">
        <v>416</v>
      </c>
      <c r="E42" s="5">
        <v>189.081467</v>
      </c>
      <c r="F42" s="5">
        <v>57.074245</v>
      </c>
      <c r="G42" s="5">
        <v>47.252537</v>
      </c>
      <c r="H42" s="6">
        <v>0.30185</v>
      </c>
      <c r="I42" s="5">
        <v>9.821709</v>
      </c>
      <c r="J42" s="6">
        <v>0.172087</v>
      </c>
      <c r="K42" s="4" t="s">
        <v>265</v>
      </c>
    </row>
    <row r="43" spans="1:11">
      <c r="A43" s="4" t="s">
        <v>814</v>
      </c>
      <c r="B43" s="1">
        <v>130</v>
      </c>
      <c r="C43" s="4" t="s">
        <v>832</v>
      </c>
      <c r="D43" s="4" t="s">
        <v>425</v>
      </c>
      <c r="E43" s="5">
        <v>306.580475</v>
      </c>
      <c r="F43" s="5">
        <v>103.159096</v>
      </c>
      <c r="G43" s="5">
        <v>87.85054</v>
      </c>
      <c r="H43" s="6">
        <v>0.336483</v>
      </c>
      <c r="I43" s="5">
        <v>15.308556</v>
      </c>
      <c r="J43" s="6">
        <v>0.148398</v>
      </c>
      <c r="K43" s="4" t="s">
        <v>265</v>
      </c>
    </row>
    <row r="44" spans="1:11">
      <c r="A44" s="4" t="s">
        <v>814</v>
      </c>
      <c r="B44" s="1">
        <v>131</v>
      </c>
      <c r="C44" s="4" t="s">
        <v>841</v>
      </c>
      <c r="D44" s="4" t="s">
        <v>434</v>
      </c>
      <c r="E44" s="5">
        <v>204.545013</v>
      </c>
      <c r="F44" s="5">
        <v>45.309868</v>
      </c>
      <c r="G44" s="5">
        <v>29.231918</v>
      </c>
      <c r="H44" s="6">
        <v>0.221515</v>
      </c>
      <c r="I44" s="5">
        <v>16.07795</v>
      </c>
      <c r="J44" s="6">
        <v>0.354844</v>
      </c>
      <c r="K44" s="4" t="s">
        <v>265</v>
      </c>
    </row>
    <row r="45" spans="1:11">
      <c r="A45" s="4" t="s">
        <v>814</v>
      </c>
      <c r="B45" s="1">
        <v>132</v>
      </c>
      <c r="C45" s="4" t="s">
        <v>848</v>
      </c>
      <c r="D45" s="4" t="s">
        <v>849</v>
      </c>
      <c r="E45" s="5">
        <v>311.644196</v>
      </c>
      <c r="F45" s="5">
        <v>7.170292</v>
      </c>
      <c r="G45" s="5">
        <v>7.170292</v>
      </c>
      <c r="H45" s="6">
        <v>0.023008</v>
      </c>
      <c r="I45" s="5">
        <v>0</v>
      </c>
      <c r="J45" s="6">
        <v>0</v>
      </c>
      <c r="K45" s="4" t="s">
        <v>121</v>
      </c>
    </row>
    <row r="46" spans="1:11">
      <c r="A46" s="4" t="s">
        <v>814</v>
      </c>
      <c r="B46" s="1">
        <v>133</v>
      </c>
      <c r="C46" s="4" t="s">
        <v>815</v>
      </c>
      <c r="D46" s="4" t="s">
        <v>442</v>
      </c>
      <c r="E46" s="5">
        <v>341.910828</v>
      </c>
      <c r="F46" s="5">
        <v>159.471848</v>
      </c>
      <c r="G46" s="5">
        <v>50.754864</v>
      </c>
      <c r="H46" s="6">
        <v>0.466414</v>
      </c>
      <c r="I46" s="5">
        <v>108.716984</v>
      </c>
      <c r="J46" s="6">
        <v>0.681732</v>
      </c>
      <c r="K46" s="4" t="s">
        <v>265</v>
      </c>
    </row>
    <row r="47" spans="1:11">
      <c r="A47" s="4" t="s">
        <v>814</v>
      </c>
      <c r="B47" s="1">
        <v>134</v>
      </c>
      <c r="C47" s="4" t="s">
        <v>838</v>
      </c>
      <c r="D47" s="4" t="s">
        <v>476</v>
      </c>
      <c r="E47" s="5">
        <v>219.814301</v>
      </c>
      <c r="F47" s="5">
        <v>35.7033</v>
      </c>
      <c r="G47" s="5">
        <v>3.004886</v>
      </c>
      <c r="H47" s="6">
        <v>0.162425</v>
      </c>
      <c r="I47" s="5">
        <v>32.698414</v>
      </c>
      <c r="J47" s="6">
        <v>0.915837</v>
      </c>
      <c r="K47" s="4" t="s">
        <v>265</v>
      </c>
    </row>
    <row r="48" spans="1:11">
      <c r="A48" s="4" t="s">
        <v>814</v>
      </c>
      <c r="B48" s="1">
        <v>135</v>
      </c>
      <c r="C48" s="4" t="s">
        <v>832</v>
      </c>
      <c r="D48" s="4" t="s">
        <v>498</v>
      </c>
      <c r="E48" s="5">
        <v>297.945251</v>
      </c>
      <c r="F48" s="5">
        <v>84.191238</v>
      </c>
      <c r="G48" s="5">
        <v>83.507751</v>
      </c>
      <c r="H48" s="6">
        <v>0.282573</v>
      </c>
      <c r="I48" s="5">
        <v>0.683487</v>
      </c>
      <c r="J48" s="6">
        <v>0.008118</v>
      </c>
      <c r="K48" s="4" t="s">
        <v>92</v>
      </c>
    </row>
    <row r="49" spans="1:11">
      <c r="A49" s="4" t="s">
        <v>814</v>
      </c>
      <c r="B49" s="1">
        <v>136</v>
      </c>
      <c r="C49" s="4" t="s">
        <v>843</v>
      </c>
      <c r="D49" s="4" t="s">
        <v>850</v>
      </c>
      <c r="E49" s="5">
        <v>256.519562</v>
      </c>
      <c r="F49" s="5">
        <v>88.405243</v>
      </c>
      <c r="G49" s="5">
        <v>69.158661</v>
      </c>
      <c r="H49" s="6">
        <v>0.344634</v>
      </c>
      <c r="I49" s="5">
        <v>19.246582</v>
      </c>
      <c r="J49" s="6">
        <v>0.217709</v>
      </c>
      <c r="K49" s="4" t="s">
        <v>265</v>
      </c>
    </row>
    <row r="50" spans="1:11">
      <c r="A50" s="4" t="s">
        <v>814</v>
      </c>
      <c r="B50" s="1">
        <v>137</v>
      </c>
      <c r="C50" s="4" t="s">
        <v>828</v>
      </c>
      <c r="D50" s="4" t="s">
        <v>851</v>
      </c>
      <c r="E50" s="5">
        <v>294.806061</v>
      </c>
      <c r="F50" s="5">
        <v>55.954048</v>
      </c>
      <c r="G50" s="5">
        <v>47.802769</v>
      </c>
      <c r="H50" s="6">
        <v>0.1898</v>
      </c>
      <c r="I50" s="5">
        <v>8.151279</v>
      </c>
      <c r="J50" s="6">
        <v>0.145678</v>
      </c>
      <c r="K50" s="4" t="s">
        <v>265</v>
      </c>
    </row>
    <row r="51" spans="1:11">
      <c r="A51" s="4" t="s">
        <v>814</v>
      </c>
      <c r="B51" s="1">
        <v>138</v>
      </c>
      <c r="C51" s="4" t="s">
        <v>827</v>
      </c>
      <c r="D51" s="4" t="s">
        <v>506</v>
      </c>
      <c r="E51" s="5">
        <v>283.152069</v>
      </c>
      <c r="F51" s="5">
        <v>0</v>
      </c>
      <c r="G51" s="5">
        <v>0</v>
      </c>
      <c r="H51" s="6">
        <v>0</v>
      </c>
      <c r="I51" s="5">
        <v>0</v>
      </c>
      <c r="J51" s="6">
        <v>0</v>
      </c>
      <c r="K51" s="4" t="s">
        <v>121</v>
      </c>
    </row>
    <row r="52" spans="1:11">
      <c r="A52" s="4" t="s">
        <v>814</v>
      </c>
      <c r="B52" s="1">
        <v>139</v>
      </c>
      <c r="C52" s="4" t="s">
        <v>845</v>
      </c>
      <c r="D52" s="4" t="s">
        <v>852</v>
      </c>
      <c r="E52" s="5">
        <v>273.513519</v>
      </c>
      <c r="F52" s="5">
        <v>82.602638</v>
      </c>
      <c r="G52" s="5">
        <v>82.602638</v>
      </c>
      <c r="H52" s="6">
        <v>0.302006</v>
      </c>
      <c r="I52" s="5">
        <v>0</v>
      </c>
      <c r="J52" s="6">
        <v>0</v>
      </c>
      <c r="K52" s="4" t="s">
        <v>92</v>
      </c>
    </row>
    <row r="53" spans="1:11">
      <c r="A53" s="4" t="s">
        <v>814</v>
      </c>
      <c r="B53" s="1">
        <v>140</v>
      </c>
      <c r="C53" s="4" t="s">
        <v>819</v>
      </c>
      <c r="D53" s="4" t="s">
        <v>526</v>
      </c>
      <c r="E53" s="5">
        <v>302.496674</v>
      </c>
      <c r="F53" s="5">
        <v>116.983833</v>
      </c>
      <c r="G53" s="5">
        <v>115.348503</v>
      </c>
      <c r="H53" s="6">
        <v>0.386728</v>
      </c>
      <c r="I53" s="5">
        <v>1.63533</v>
      </c>
      <c r="J53" s="6">
        <v>0.013979</v>
      </c>
      <c r="K53" s="4" t="s">
        <v>265</v>
      </c>
    </row>
    <row r="54" spans="1:11">
      <c r="A54" s="4" t="s">
        <v>814</v>
      </c>
      <c r="B54" s="1">
        <v>141</v>
      </c>
      <c r="C54" s="4" t="s">
        <v>821</v>
      </c>
      <c r="D54" s="4" t="s">
        <v>535</v>
      </c>
      <c r="E54" s="5">
        <v>337.441193</v>
      </c>
      <c r="F54" s="5">
        <v>44.318737</v>
      </c>
      <c r="G54" s="5">
        <v>44.318737</v>
      </c>
      <c r="H54" s="6">
        <v>0.131338</v>
      </c>
      <c r="I54" s="5">
        <v>0</v>
      </c>
      <c r="J54" s="6">
        <v>0</v>
      </c>
      <c r="K54" s="4" t="s">
        <v>121</v>
      </c>
    </row>
    <row r="55" spans="1:11">
      <c r="A55" s="4" t="s">
        <v>814</v>
      </c>
      <c r="B55" s="1">
        <v>142</v>
      </c>
      <c r="C55" s="4" t="s">
        <v>848</v>
      </c>
      <c r="D55" s="4" t="s">
        <v>853</v>
      </c>
      <c r="E55" s="5">
        <v>310.995514</v>
      </c>
      <c r="F55" s="5">
        <v>17.092016</v>
      </c>
      <c r="G55" s="5">
        <v>17.092016</v>
      </c>
      <c r="H55" s="6">
        <v>0.054959</v>
      </c>
      <c r="I55" s="5">
        <v>0</v>
      </c>
      <c r="J55" s="6">
        <v>0</v>
      </c>
      <c r="K55" s="4" t="s">
        <v>121</v>
      </c>
    </row>
    <row r="56" spans="1:11">
      <c r="A56" s="4" t="s">
        <v>814</v>
      </c>
      <c r="B56" s="1">
        <v>143</v>
      </c>
      <c r="C56" s="4" t="s">
        <v>828</v>
      </c>
      <c r="D56" s="4" t="s">
        <v>544</v>
      </c>
      <c r="E56" s="5">
        <v>276.531433</v>
      </c>
      <c r="F56" s="5">
        <v>152.06282</v>
      </c>
      <c r="G56" s="5">
        <v>152.06282</v>
      </c>
      <c r="H56" s="6">
        <v>0.549893</v>
      </c>
      <c r="I56" s="5">
        <v>0</v>
      </c>
      <c r="J56" s="6">
        <v>0</v>
      </c>
      <c r="K56" s="4" t="s">
        <v>92</v>
      </c>
    </row>
    <row r="57" spans="1:11">
      <c r="A57" s="4" t="s">
        <v>814</v>
      </c>
      <c r="B57" s="1">
        <v>144</v>
      </c>
      <c r="C57" s="4" t="s">
        <v>832</v>
      </c>
      <c r="D57" s="4" t="s">
        <v>553</v>
      </c>
      <c r="E57" s="5">
        <v>303.082855</v>
      </c>
      <c r="F57" s="5">
        <v>161.344574</v>
      </c>
      <c r="G57" s="5">
        <v>161.344574</v>
      </c>
      <c r="H57" s="6">
        <v>0.532345</v>
      </c>
      <c r="I57" s="5">
        <v>0</v>
      </c>
      <c r="J57" s="6">
        <v>0</v>
      </c>
      <c r="K57" s="4" t="s">
        <v>92</v>
      </c>
    </row>
    <row r="58" spans="1:11">
      <c r="A58" s="4" t="s">
        <v>814</v>
      </c>
      <c r="B58" s="1">
        <v>145</v>
      </c>
      <c r="C58" s="4" t="s">
        <v>843</v>
      </c>
      <c r="D58" s="4" t="s">
        <v>854</v>
      </c>
      <c r="E58" s="5">
        <v>250.452866</v>
      </c>
      <c r="F58" s="5">
        <v>80.762085</v>
      </c>
      <c r="G58" s="5">
        <v>80.762085</v>
      </c>
      <c r="H58" s="6">
        <v>0.322464</v>
      </c>
      <c r="I58" s="5">
        <v>0</v>
      </c>
      <c r="J58" s="6">
        <v>0</v>
      </c>
      <c r="K58" s="4" t="s">
        <v>92</v>
      </c>
    </row>
    <row r="59" spans="1:11">
      <c r="A59" s="4" t="s">
        <v>814</v>
      </c>
      <c r="B59" s="1">
        <v>146</v>
      </c>
      <c r="C59" s="4" t="s">
        <v>816</v>
      </c>
      <c r="D59" s="4" t="s">
        <v>855</v>
      </c>
      <c r="E59" s="5">
        <v>188.021667</v>
      </c>
      <c r="F59" s="5">
        <v>67.452507</v>
      </c>
      <c r="G59" s="5">
        <v>67.452507</v>
      </c>
      <c r="H59" s="6">
        <v>0.358749</v>
      </c>
      <c r="I59" s="5">
        <v>0</v>
      </c>
      <c r="J59" s="6">
        <v>0</v>
      </c>
      <c r="K59" s="4" t="s">
        <v>92</v>
      </c>
    </row>
    <row r="60" spans="1:11">
      <c r="A60" s="4" t="s">
        <v>814</v>
      </c>
      <c r="B60" s="1">
        <v>147</v>
      </c>
      <c r="C60" s="4" t="s">
        <v>823</v>
      </c>
      <c r="D60" s="4" t="s">
        <v>561</v>
      </c>
      <c r="E60" s="5">
        <v>250.106918</v>
      </c>
      <c r="F60" s="5">
        <v>57.096375</v>
      </c>
      <c r="G60" s="5">
        <v>57.096375</v>
      </c>
      <c r="H60" s="6">
        <v>0.228288</v>
      </c>
      <c r="I60" s="5">
        <v>0</v>
      </c>
      <c r="J60" s="6">
        <v>0</v>
      </c>
      <c r="K60" s="4" t="s">
        <v>92</v>
      </c>
    </row>
    <row r="61" spans="1:11">
      <c r="A61" s="4" t="s">
        <v>814</v>
      </c>
      <c r="B61" s="1">
        <v>148</v>
      </c>
      <c r="C61" s="4" t="s">
        <v>826</v>
      </c>
      <c r="D61" s="4" t="s">
        <v>569</v>
      </c>
      <c r="E61" s="5">
        <v>239.802444</v>
      </c>
      <c r="F61" s="5">
        <v>127.925003</v>
      </c>
      <c r="G61" s="5">
        <v>127.925003</v>
      </c>
      <c r="H61" s="6">
        <v>0.53346</v>
      </c>
      <c r="I61" s="5">
        <v>0</v>
      </c>
      <c r="J61" s="6">
        <v>0</v>
      </c>
      <c r="K61" s="4" t="s">
        <v>92</v>
      </c>
    </row>
    <row r="62" spans="1:11">
      <c r="A62" s="4" t="s">
        <v>814</v>
      </c>
      <c r="B62" s="1">
        <v>149</v>
      </c>
      <c r="C62" s="4" t="s">
        <v>838</v>
      </c>
      <c r="D62" s="4" t="s">
        <v>578</v>
      </c>
      <c r="E62" s="5">
        <v>231.401031</v>
      </c>
      <c r="F62" s="5">
        <v>90.426979</v>
      </c>
      <c r="G62" s="5">
        <v>90.426979</v>
      </c>
      <c r="H62" s="6">
        <v>0.39078</v>
      </c>
      <c r="I62" s="5">
        <v>0</v>
      </c>
      <c r="J62" s="6">
        <v>0</v>
      </c>
      <c r="K62" s="4" t="s">
        <v>92</v>
      </c>
    </row>
    <row r="63" spans="1:11">
      <c r="A63" s="4" t="s">
        <v>814</v>
      </c>
      <c r="B63" s="1">
        <v>150</v>
      </c>
      <c r="C63" s="4" t="s">
        <v>827</v>
      </c>
      <c r="D63" s="4" t="s">
        <v>856</v>
      </c>
      <c r="E63" s="5">
        <v>268.955658</v>
      </c>
      <c r="F63" s="5">
        <v>46.093105</v>
      </c>
      <c r="G63" s="5">
        <v>46.093105</v>
      </c>
      <c r="H63" s="6">
        <v>0.171378</v>
      </c>
      <c r="I63" s="5">
        <v>0</v>
      </c>
      <c r="J63" s="6">
        <v>0</v>
      </c>
      <c r="K63" s="4" t="s">
        <v>121</v>
      </c>
    </row>
    <row r="64" spans="1:11">
      <c r="A64" s="4" t="s">
        <v>814</v>
      </c>
      <c r="B64" s="1">
        <v>151</v>
      </c>
      <c r="C64" s="4" t="s">
        <v>823</v>
      </c>
      <c r="D64" s="4" t="s">
        <v>586</v>
      </c>
      <c r="E64" s="5">
        <v>253.792389</v>
      </c>
      <c r="F64" s="5">
        <v>77.812119</v>
      </c>
      <c r="G64" s="5">
        <v>77.812119</v>
      </c>
      <c r="H64" s="6">
        <v>0.306598</v>
      </c>
      <c r="I64" s="5">
        <v>0</v>
      </c>
      <c r="J64" s="6">
        <v>0</v>
      </c>
      <c r="K64" s="4" t="s">
        <v>92</v>
      </c>
    </row>
    <row r="65" spans="1:11">
      <c r="A65" s="4" t="s">
        <v>814</v>
      </c>
      <c r="B65" s="1">
        <v>152</v>
      </c>
      <c r="C65" s="4" t="s">
        <v>818</v>
      </c>
      <c r="D65" s="4" t="s">
        <v>608</v>
      </c>
      <c r="E65" s="5">
        <v>236.187988</v>
      </c>
      <c r="F65" s="5">
        <v>29.127611</v>
      </c>
      <c r="G65" s="5">
        <v>29.127611</v>
      </c>
      <c r="H65" s="6">
        <v>0.123324</v>
      </c>
      <c r="I65" s="5">
        <v>0</v>
      </c>
      <c r="J65" s="6">
        <v>0</v>
      </c>
      <c r="K65" s="4" t="s">
        <v>121</v>
      </c>
    </row>
    <row r="66" spans="1:11">
      <c r="A66" s="4" t="s">
        <v>814</v>
      </c>
      <c r="B66" s="1">
        <v>153</v>
      </c>
      <c r="C66" s="4" t="s">
        <v>847</v>
      </c>
      <c r="D66" s="4" t="s">
        <v>857</v>
      </c>
      <c r="E66" s="5">
        <v>259.687988</v>
      </c>
      <c r="F66" s="5">
        <v>88.271301</v>
      </c>
      <c r="G66" s="5">
        <v>88.271301</v>
      </c>
      <c r="H66" s="6">
        <v>0.339913</v>
      </c>
      <c r="I66" s="5">
        <v>0</v>
      </c>
      <c r="J66" s="6">
        <v>0</v>
      </c>
      <c r="K66" s="4" t="s">
        <v>92</v>
      </c>
    </row>
    <row r="67" spans="1:11">
      <c r="A67" s="4" t="s">
        <v>814</v>
      </c>
      <c r="B67" s="1">
        <v>154</v>
      </c>
      <c r="C67" s="4" t="s">
        <v>823</v>
      </c>
      <c r="D67" s="4" t="s">
        <v>858</v>
      </c>
      <c r="E67" s="5">
        <v>264.446594</v>
      </c>
      <c r="F67" s="5">
        <v>93.499542</v>
      </c>
      <c r="G67" s="5">
        <v>93.499542</v>
      </c>
      <c r="H67" s="6">
        <v>0.353567</v>
      </c>
      <c r="I67" s="5">
        <v>0</v>
      </c>
      <c r="J67" s="6">
        <v>0</v>
      </c>
      <c r="K67" s="4" t="s">
        <v>92</v>
      </c>
    </row>
    <row r="68" spans="1:11">
      <c r="A68" s="4" t="s">
        <v>814</v>
      </c>
      <c r="B68" s="1">
        <v>155</v>
      </c>
      <c r="C68" s="4" t="s">
        <v>848</v>
      </c>
      <c r="D68" s="4" t="s">
        <v>635</v>
      </c>
      <c r="E68" s="5">
        <v>323.682983</v>
      </c>
      <c r="F68" s="5">
        <v>12.195758</v>
      </c>
      <c r="G68" s="5">
        <v>12.195758</v>
      </c>
      <c r="H68" s="6">
        <v>0.037678</v>
      </c>
      <c r="I68" s="5">
        <v>0</v>
      </c>
      <c r="J68" s="6">
        <v>0</v>
      </c>
      <c r="K68" s="4" t="s">
        <v>121</v>
      </c>
    </row>
    <row r="69" spans="1:11">
      <c r="A69" s="4" t="s">
        <v>814</v>
      </c>
      <c r="B69" s="1">
        <v>156</v>
      </c>
      <c r="C69" s="4" t="s">
        <v>823</v>
      </c>
      <c r="D69" s="4" t="s">
        <v>655</v>
      </c>
      <c r="E69" s="5">
        <v>253.71109</v>
      </c>
      <c r="F69" s="5">
        <v>7.644562</v>
      </c>
      <c r="G69" s="5">
        <v>7.644562</v>
      </c>
      <c r="H69" s="6">
        <v>0.030131</v>
      </c>
      <c r="I69" s="5">
        <v>0</v>
      </c>
      <c r="J69" s="6">
        <v>0</v>
      </c>
      <c r="K69" s="4" t="s">
        <v>121</v>
      </c>
    </row>
    <row r="70" spans="1:11">
      <c r="A70" s="4" t="s">
        <v>814</v>
      </c>
      <c r="B70" s="1">
        <v>157</v>
      </c>
      <c r="C70" s="4" t="s">
        <v>848</v>
      </c>
      <c r="D70" s="4" t="s">
        <v>688</v>
      </c>
      <c r="E70" s="5">
        <v>312.587494</v>
      </c>
      <c r="F70" s="5">
        <v>48.080185</v>
      </c>
      <c r="G70" s="5">
        <v>20.994383</v>
      </c>
      <c r="H70" s="6">
        <v>0.153814</v>
      </c>
      <c r="I70" s="5">
        <v>27.085802</v>
      </c>
      <c r="J70" s="6">
        <v>0.563346</v>
      </c>
      <c r="K70" s="4" t="s">
        <v>265</v>
      </c>
    </row>
    <row r="71" spans="1:11">
      <c r="A71" s="4" t="s">
        <v>814</v>
      </c>
      <c r="B71" s="1">
        <v>158</v>
      </c>
      <c r="C71" s="4" t="s">
        <v>826</v>
      </c>
      <c r="D71" s="4" t="s">
        <v>706</v>
      </c>
      <c r="E71" s="5">
        <v>241.623322</v>
      </c>
      <c r="F71" s="5">
        <v>51.803616</v>
      </c>
      <c r="G71" s="5">
        <v>28.657412</v>
      </c>
      <c r="H71" s="6">
        <v>0.214398</v>
      </c>
      <c r="I71" s="5">
        <v>23.146204</v>
      </c>
      <c r="J71" s="6">
        <v>0.446807</v>
      </c>
      <c r="K71" s="4" t="s">
        <v>265</v>
      </c>
    </row>
    <row r="72" spans="1:11">
      <c r="A72" s="4" t="s">
        <v>814</v>
      </c>
      <c r="B72" s="1">
        <v>159</v>
      </c>
      <c r="C72" s="4" t="s">
        <v>843</v>
      </c>
      <c r="D72" s="4" t="s">
        <v>859</v>
      </c>
      <c r="E72" s="5">
        <v>254.897156</v>
      </c>
      <c r="F72" s="5">
        <v>49.616974</v>
      </c>
      <c r="G72" s="5">
        <v>24.655743</v>
      </c>
      <c r="H72" s="6">
        <v>0.194655</v>
      </c>
      <c r="I72" s="5">
        <v>24.961231</v>
      </c>
      <c r="J72" s="6">
        <v>0.503078</v>
      </c>
      <c r="K72" s="4" t="s">
        <v>265</v>
      </c>
    </row>
    <row r="73" spans="1:11">
      <c r="A73" s="4" t="s">
        <v>814</v>
      </c>
      <c r="B73" s="1">
        <v>160</v>
      </c>
      <c r="C73" s="4" t="s">
        <v>826</v>
      </c>
      <c r="D73" s="4" t="s">
        <v>730</v>
      </c>
      <c r="E73" s="5">
        <v>242.993927</v>
      </c>
      <c r="F73" s="5">
        <v>62.039352</v>
      </c>
      <c r="G73" s="5">
        <v>53.958992</v>
      </c>
      <c r="H73" s="6">
        <v>0.255312</v>
      </c>
      <c r="I73" s="5">
        <v>8.08036</v>
      </c>
      <c r="J73" s="6">
        <v>0.130246</v>
      </c>
      <c r="K73" s="4" t="s">
        <v>265</v>
      </c>
    </row>
    <row r="74" spans="1:11">
      <c r="A74" s="4" t="s">
        <v>814</v>
      </c>
      <c r="B74" s="1">
        <v>161</v>
      </c>
      <c r="C74" s="4" t="s">
        <v>816</v>
      </c>
      <c r="D74" s="4" t="s">
        <v>740</v>
      </c>
      <c r="E74" s="5">
        <v>186.083954</v>
      </c>
      <c r="F74" s="5">
        <v>19.462749</v>
      </c>
      <c r="G74" s="5">
        <v>19.462749</v>
      </c>
      <c r="H74" s="6">
        <v>0.104591</v>
      </c>
      <c r="I74" s="5">
        <v>0</v>
      </c>
      <c r="J74" s="6">
        <v>0</v>
      </c>
      <c r="K74" s="4" t="s">
        <v>121</v>
      </c>
    </row>
    <row r="75" spans="1:11">
      <c r="A75" s="4" t="s">
        <v>814</v>
      </c>
      <c r="B75" s="1">
        <v>162</v>
      </c>
      <c r="C75" s="4" t="s">
        <v>815</v>
      </c>
      <c r="D75" s="4" t="s">
        <v>761</v>
      </c>
      <c r="E75" s="5">
        <v>341.410583</v>
      </c>
      <c r="F75" s="5">
        <v>185.796509</v>
      </c>
      <c r="G75" s="5">
        <v>185.46167</v>
      </c>
      <c r="H75" s="6">
        <v>0.544203</v>
      </c>
      <c r="I75" s="5">
        <v>0.334839</v>
      </c>
      <c r="J75" s="6">
        <v>0.001802</v>
      </c>
      <c r="K75" s="4" t="s">
        <v>92</v>
      </c>
    </row>
  </sheetData>
  <mergeCells count="1">
    <mergeCell ref="A1:K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MBD_structure_classification</vt:lpstr>
      <vt:lpstr>Structure_summary</vt:lpstr>
      <vt:lpstr>Class_lists</vt:lpstr>
      <vt:lpstr>Classification_rules</vt:lpstr>
      <vt:lpstr>SASA_residue_reference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X.M.</cp:lastModifiedBy>
  <dcterms:created xsi:type="dcterms:W3CDTF">2026-08-09T16:46:39Z</dcterms:created>
  <dcterms:modified xsi:type="dcterms:W3CDTF">2026-08-09T16:51:24Z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41A281A3E12F8B399B3E786AB1A0EC1A_42</vt:lpwstr>
  </property>
  <property fmtid="{D5CDD505-2E9C-101B-9397-08002B2CF9AE}" pid="3" name="KSOProductBuildVer">
    <vt:lpwstr>2052-12.1.2.22571</vt:lpwstr>
  </property>
</Properties>
</file>